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240" windowHeight="13560" firstSheet="2" activeTab="2"/>
  </bookViews>
  <sheets>
    <sheet name="Class C Apartment Cap Rates" sheetId="4" r:id="rId1"/>
    <sheet name="Class C Hotel Cap Rates" sheetId="1" r:id="rId2"/>
    <sheet name="Cap Rate Spread Analysis" sheetId="2" r:id="rId3"/>
    <sheet name="Regulatory Environment" sheetId="5" r:id="rId4"/>
  </sheets>
  <calcPr calcId="144525"/>
</workbook>
</file>

<file path=xl/sharedStrings.xml><?xml version="1.0" encoding="utf-8"?>
<sst xmlns="http://schemas.openxmlformats.org/spreadsheetml/2006/main" count="943" uniqueCount="574">
  <si>
    <t>Class C Apartment Cap Rates (100+ Units) — Hotel-to-Apartment Conversion Framework</t>
  </si>
  <si>
    <t>As of Q1 2026 | Sources: CBRE H2 2025 Cap Rate Survey, Freddie Mac, Yardi Matrix, Marcus &amp; Millichap, Fannie Mae</t>
  </si>
  <si>
    <t>State</t>
  </si>
  <si>
    <t>Est. Cap Rate</t>
  </si>
  <si>
    <t>Range (Low–High)</t>
  </si>
  <si>
    <t>Key Market(s)</t>
  </si>
  <si>
    <t>Reference / Rationale</t>
  </si>
  <si>
    <t>Hotel Conversion Relevance</t>
  </si>
  <si>
    <t>Alabama</t>
  </si>
  <si>
    <t>7.00%</t>
  </si>
  <si>
    <t>6.25%–7.75%</t>
  </si>
  <si>
    <t>Birmingham, Huntsville, Mobile</t>
  </si>
  <si>
    <t>Secondary SE market. Huntsville tech growth tightening caps. Birmingham/Mobile higher yields. Insurance rising but below FL.</t>
  </si>
  <si>
    <t>MODERATE — Birmingham/Mobile have older hotel stock. Huntsville growing but limited inventory.</t>
  </si>
  <si>
    <t>Alaska</t>
  </si>
  <si>
    <t>8.00%</t>
  </si>
  <si>
    <t>7.25%–9.00%</t>
  </si>
  <si>
    <t>Anchorage, Fairbanks</t>
  </si>
  <si>
    <t>Very small MF market. High construction/operating costs. Limited transaction data. Risk premium for remote location and seasonal economy.</t>
  </si>
  <si>
    <t>LOW — Very limited hotel inventory suitable for conversion. High rehab costs due to climate.</t>
  </si>
  <si>
    <t>Arizona</t>
  </si>
  <si>
    <t>6.00%</t>
  </si>
  <si>
    <t>5.50%–6.75%</t>
  </si>
  <si>
    <t>Phoenix, Tucson, Mesa</t>
  </si>
  <si>
    <t>Continued Phoenix corridor expansion. Suburban C-class trades above national avg. Tucson secondary market offers higher caps.</t>
  </si>
  <si>
    <t>HIGH — Phoenix metro has large extended-stay/select-service inventory along I-10/I-17. Dry climate reduces conversion capex.</t>
  </si>
  <si>
    <t>Arkansas</t>
  </si>
  <si>
    <t>7.50%</t>
  </si>
  <si>
    <t>6.75%–8.25%</t>
  </si>
  <si>
    <t>Little Rock, Fayetteville, Fort Smith</t>
  </si>
  <si>
    <t>Tertiary market pricing. Fayetteville (Walmart/U of A) tighter. Little Rock and Fort Smith offer deep value with higher yields.</t>
  </si>
  <si>
    <t>LOW-MODERATE — Limited metro hotel inventory. Fayetteville NWA corridor has some select-service candidates.</t>
  </si>
  <si>
    <t>California</t>
  </si>
  <si>
    <t>5.50%</t>
  </si>
  <si>
    <t>4.75%–6.50%</t>
  </si>
  <si>
    <t>LA, Inland Empire, Sacramento, Central Valley</t>
  </si>
  <si>
    <t>Coastal CA very tight (sub-5%). Inland Empire/Central Valley C-class 5.75–6.50%. High regulatory burden. AB 2011 may streamline some conversions.</t>
  </si>
  <si>
    <t>LOW-MODERATE — Extensive CEQA/entitlement process. Some jurisdictions offer streamlined hotel conversion paths.</t>
  </si>
  <si>
    <t>Colorado</t>
  </si>
  <si>
    <t>6.50%</t>
  </si>
  <si>
    <t>5.50%–7.00%</t>
  </si>
  <si>
    <t>Denver, Colorado Springs</t>
  </si>
  <si>
    <t>USER ANCHOR. Denver corridor sustained demand but construction inflation. Suburban Denver higher yields. Springs emerging secondary market.</t>
  </si>
  <si>
    <t>HIGH — Denver has surplus select-service hotels near DIA and I-25 corridor. Springs has older convertible stock.</t>
  </si>
  <si>
    <t>Connecticut</t>
  </si>
  <si>
    <t>6.25%</t>
  </si>
  <si>
    <t>Hartford, New Haven, Stamford</t>
  </si>
  <si>
    <t>Stamford/Fairfield County tighter due to NYC spillover. Hartford/New Haven secondary pricing. High property taxes impact NOI.</t>
  </si>
  <si>
    <t>MODERATE — Hartford and New Haven have aging hotel stock along I-91/I-95. Stamford too expensive for C-class conversion.</t>
  </si>
  <si>
    <t>Delaware</t>
  </si>
  <si>
    <t>5.75%–7.00%</t>
  </si>
  <si>
    <t>Wilmington, Dover</t>
  </si>
  <si>
    <t>Small state, limited MF transaction volume. Wilmington benefits from Philly metro spillover. Dover tertiary pricing. No state sales tax advantage.</t>
  </si>
  <si>
    <t>LOW — Very limited hotel inventory. Wilmington suburban corridor has some candidates.</t>
  </si>
  <si>
    <t>Florida</t>
  </si>
  <si>
    <t>Orlando, Tampa, Jacksonville, Miami</t>
  </si>
  <si>
    <t>Strong pop growth and rent escalation (3.5–5.5% projected). Rising insurance/property tax push C-class caps wider. Smaller SE FL markets 5.75–6.25%.</t>
  </si>
  <si>
    <t>HIGH — Orlando/Tampa have large extended-stay supply. Insurance costs key risk for conversion pro formas.</t>
  </si>
  <si>
    <t>Georgia</t>
  </si>
  <si>
    <t>Atlanta, Augusta, Savannah</t>
  </si>
  <si>
    <t>Steady in-migration. Augusta C-class reported at 6.71% (ApartmentLoanStore Q1 2025). Inland GA 6.25% range per Sherman &amp; Hemstreet.</t>
  </si>
  <si>
    <t>HIGH — Atlanta suburban hotel corridors (I-285, I-85) have aging select-service stock.</t>
  </si>
  <si>
    <t>Hawaii</t>
  </si>
  <si>
    <t>5.00%</t>
  </si>
  <si>
    <t>4.50%–5.75%</t>
  </si>
  <si>
    <t>Honolulu, Maui</t>
  </si>
  <si>
    <t>Extremely tight supply. Tourism-driven economy compresses all asset classes. Very high land/construction costs. Limited C-class 100+ unit inventory.</t>
  </si>
  <si>
    <t>LOW — Hotel conversions face tourism preservation pushback. Extremely high conversion costs.</t>
  </si>
  <si>
    <t>Idaho</t>
  </si>
  <si>
    <t>5.75%–7.25%</t>
  </si>
  <si>
    <t>Boise, Idaho Falls, Coeur d'Alene</t>
  </si>
  <si>
    <t>Boise rapid growth tightening caps. Smaller markets still tertiary pricing. Strong in-migration from CA/WA. Limited institutional data.</t>
  </si>
  <si>
    <t>MODERATE — Boise has some select-service hotel candidates. Smaller markets lack scale.</t>
  </si>
  <si>
    <t>Illinois</t>
  </si>
  <si>
    <t>6.75%</t>
  </si>
  <si>
    <t>6.00%–7.50%</t>
  </si>
  <si>
    <t>Chicago (suburbs), Springfield, Rockford</t>
  </si>
  <si>
    <t>Chicago suburban C-class above national avg. Downstate higher yields. Cook County tax burden impacts NOI. Population outmigration headwind.</t>
  </si>
  <si>
    <t>MODERATE — Chicago suburban corridors (O'Hare, Rosemont) have conversion candidates. Tax environment is a risk.</t>
  </si>
  <si>
    <t>Indiana</t>
  </si>
  <si>
    <t>Indianapolis, Fort Wayne, South Bend</t>
  </si>
  <si>
    <t>Lower build costs. Workforce C-class attractive per CBRE. Indy improving fundamentals. Strong 7-yr IRRs (14–16%) on workforce housing.</t>
  </si>
  <si>
    <t>MODERATE — Indianapolis has select-service hotels near airport and convention center.</t>
  </si>
  <si>
    <t>Iowa</t>
  </si>
  <si>
    <t>7.25%</t>
  </si>
  <si>
    <t>6.50%–8.00%</t>
  </si>
  <si>
    <t>Des Moines, Cedar Rapids, Iowa City</t>
  </si>
  <si>
    <t>Midwest secondary pricing. Des Moines relatively stable but low growth. Iowa City (university) slightly tighter. Limited institutional activity.</t>
  </si>
  <si>
    <t>LOW-MODERATE — Des Moines has some highway corridor hotel candidates. Limited scale.</t>
  </si>
  <si>
    <t>Kansas</t>
  </si>
  <si>
    <t>Kansas City (KS side), Wichita, Topeka</t>
  </si>
  <si>
    <t>Tertiary/secondary Midwest market. KC metro (KS side) tighter. Wichita/Topeka higher yields. Modest population trends.</t>
  </si>
  <si>
    <t>LOW-MODERATE — KC metro has some conversion candidates. Wichita limited.</t>
  </si>
  <si>
    <t>Kentucky</t>
  </si>
  <si>
    <t>Louisville, Lexington, Bowling Green</t>
  </si>
  <si>
    <t>Secondary SE/Midwest crossover. Louisville relatively stable. Lexington (university/equine) slightly tighter. Modest growth profile.</t>
  </si>
  <si>
    <t>MODERATE — Louisville has hotel stock along I-65/I-64 corridors. Bourbon tourism keeps some hotels viable.</t>
  </si>
  <si>
    <t>Louisiana</t>
  </si>
  <si>
    <t>New Orleans, Baton Rouge, Shreveport</t>
  </si>
  <si>
    <t>NOLA tourism sector creates unique hotel dynamics. Baton Rouge secondary pricing. High insurance costs (hurricane risk). Shreveport deep value.</t>
  </si>
  <si>
    <t>MODERATE-HIGH — NOLA has surplus hotel inventory post-tourism shifts. Insurance is major conversion risk.</t>
  </si>
  <si>
    <t>Maine</t>
  </si>
  <si>
    <t>Portland, Bangor, Lewiston</t>
  </si>
  <si>
    <t>Small MF market. Portland relatively tight for New England secondary. Bangor/Lewiston tertiary pricing. Seasonal economy adds risk.</t>
  </si>
  <si>
    <t>LOW — Portland has some B&amp;B/boutique hotel candidates. Limited large-format hotel stock.</t>
  </si>
  <si>
    <t>Maryland</t>
  </si>
  <si>
    <t>5.75%</t>
  </si>
  <si>
    <t>5.25%–6.50%</t>
  </si>
  <si>
    <t>Baltimore, Silver Spring, Frederick</t>
  </si>
  <si>
    <t>DC metro spillover tightens suburban MD. Baltimore city C-class wider due to population loss. Prince George's/Montgomery County tighter.</t>
  </si>
  <si>
    <t>MODERATE — Baltimore has aging hotel stock. DC suburban MD very competitive acquisition market.</t>
  </si>
  <si>
    <t>Massachusetts</t>
  </si>
  <si>
    <t>5.00%–6.25%</t>
  </si>
  <si>
    <t>Boston (suburbs), Worcester, Springfield</t>
  </si>
  <si>
    <t>Boston metro institutional demand compresses caps. Worcester/Springfield offer higher yields. High regulatory/construction costs.</t>
  </si>
  <si>
    <t>LOW-MODERATE — Boston hotel conversions face high costs and Chapter 40B. Springfield more feasible.</t>
  </si>
  <si>
    <t>Michigan</t>
  </si>
  <si>
    <t>Detroit, Grand Rapids, Lansing</t>
  </si>
  <si>
    <t>Higher risk premium for industrial Midwest. Detroit C-class significant discount. Grand Rapids tighter. Population dynamics less favorable.</t>
  </si>
  <si>
    <t>MODERATE — Detroit has substantial distressed hotel inventory. Grand Rapids more stable conversion economics.</t>
  </si>
  <si>
    <t>Minnesota</t>
  </si>
  <si>
    <t>Minneapolis-St. Paul, Rochester, Duluth</t>
  </si>
  <si>
    <t>Twin Cities relatively strong Midwest market. C-class suburban trades above national avg. Rochester (Mayo Clinic) unique micro-market.</t>
  </si>
  <si>
    <t>MODERATE — Twin Cities suburban hotel corridors have candidates. Rochester hotels tied to medical tourism.</t>
  </si>
  <si>
    <t>Mississippi</t>
  </si>
  <si>
    <t>7.75%</t>
  </si>
  <si>
    <t>7.00%–8.50%</t>
  </si>
  <si>
    <t>Jackson, Gulfport, Hattiesburg</t>
  </si>
  <si>
    <t>Deep value tertiary market. Highest cap rates in SE due to population loss, low rent growth, economic headwinds. Gulfport coastal slightly tighter.</t>
  </si>
  <si>
    <t>LOW — Limited hotel inventory. Low rents make conversion economics challenging.</t>
  </si>
  <si>
    <t>Missouri</t>
  </si>
  <si>
    <t>Kansas City, St. Louis, Springfield</t>
  </si>
  <si>
    <t>Midwest secondary pricing. KC slightly tighter than StL. C-class 100+ unit at premium to national avg. Modest population growth.</t>
  </si>
  <si>
    <t>MODERATE — KC and StL have suburban hotel corridors with conversion potential.</t>
  </si>
  <si>
    <t>Montana</t>
  </si>
  <si>
    <t>Billings, Missoula, Great Falls</t>
  </si>
  <si>
    <t>Very small MF market. Tourism-driven in western MT. Billings more stable. High construction costs. Limited transaction data.</t>
  </si>
  <si>
    <t>LOW — Tourist-area hotels may have seasonal viability that exceeds conversion value.</t>
  </si>
  <si>
    <t>Nebraska</t>
  </si>
  <si>
    <t>Omaha, Lincoln</t>
  </si>
  <si>
    <t>Small stable Midwest market. Omaha relatively diversified economy (Berkshire, financial services). Lincoln (university) slightly tighter.</t>
  </si>
  <si>
    <t>LOW-MODERATE — Omaha has some I-80 corridor hotel candidates. Limited scale.</t>
  </si>
  <si>
    <t>Nevada</t>
  </si>
  <si>
    <t>Las Vegas, Reno</t>
  </si>
  <si>
    <t>Vegas suburban C-class ~6.0%. Elevated new supply pipeline. Tourism-dependent economy creates unique hotel surplus dynamics.</t>
  </si>
  <si>
    <t>HIGH — Las Vegas has massive extended-stay/economy hotel inventory. Conversion pipeline already active.</t>
  </si>
  <si>
    <t>New Hampshire</t>
  </si>
  <si>
    <t>Manchester, Nashua, Concord</t>
  </si>
  <si>
    <t>Small NE market. Southern NH benefits from Boston spillover (no income tax). Concord/northern NH tertiary. Limited institutional data.</t>
  </si>
  <si>
    <t>LOW — Limited large-format hotel stock. Southern NH has some candidates near MA border.</t>
  </si>
  <si>
    <t>New Jersey</t>
  </si>
  <si>
    <t>5.00%–6.50%</t>
  </si>
  <si>
    <t>Newark, Jersey City, Atlantic City, Trenton</t>
  </si>
  <si>
    <t>NYC metro spillover compresses northern NJ. South Jersey/AC wider. High property taxes statewide. AC has unique distressed hotel dynamics.</t>
  </si>
  <si>
    <t>MODERATE-HIGH — Atlantic City has significant distressed hotel/casino stock. Northern NJ too expensive.</t>
  </si>
  <si>
    <t>New Mexico</t>
  </si>
  <si>
    <t>Albuquerque, Santa Fe, Las Cruces</t>
  </si>
  <si>
    <t>Small secondary/tertiary market. Albuquerque relatively stable. Santa Fe tourism-driven. Las Cruces deep value. Limited MF transaction volume.</t>
  </si>
  <si>
    <t>LOW-MODERATE — Albuquerque I-40/I-25 corridor has some hotel candidates. Santa Fe hotels have tourism value.</t>
  </si>
  <si>
    <t>New York</t>
  </si>
  <si>
    <t>5.00%–6.75%</t>
  </si>
  <si>
    <t>NYC (outer boroughs), Buffalo, Syracuse, Albany</t>
  </si>
  <si>
    <t>Wide spread between NYC core and upstate. Outer borough C-class ~5.75%. Upstate secondary 6.5%+. Rent control impacts NYC.</t>
  </si>
  <si>
    <t>MODERATE — NYC hotel-to-resi conversions face regulatory hurdles. Upstate simpler entitlements.</t>
  </si>
  <si>
    <t>North Carolina</t>
  </si>
  <si>
    <t>Charlotte, Raleigh-Durham, Greensboro</t>
  </si>
  <si>
    <t>Diversified employment base. Raleigh noted as oversupply risk. Charlotte C-class more stable. NC multifamily 6.0–6.75% range.</t>
  </si>
  <si>
    <t>MODERATE-HIGH — Charlotte and Triad have convertible hotel stock. Raleigh oversupply may depress post-conversion rents.</t>
  </si>
  <si>
    <t>North Dakota</t>
  </si>
  <si>
    <t>Fargo, Bismarck, Grand Forks</t>
  </si>
  <si>
    <t>Very small market. Oil economy volatility in western ND. Fargo most stable. Deep value tertiary pricing. Limited MF activity.</t>
  </si>
  <si>
    <t>LOW — Oil-boom era hotels in Williston/Bakken may be candidates but economic risk is high.</t>
  </si>
  <si>
    <t>Ohio</t>
  </si>
  <si>
    <t>Columbus, Cleveland, Cincinnati</t>
  </si>
  <si>
    <t>Midwest secondary pricing. Columbus slightly tighter (university/tech). Cleveland/Cincinnati meaningful premium to national avg.</t>
  </si>
  <si>
    <t>MODERATE — Cleveland/Cincinnati have older hotel stock. Lower rents mean tighter margins but lower acquisition costs.</t>
  </si>
  <si>
    <t>Oklahoma</t>
  </si>
  <si>
    <t>Oklahoma City, Tulsa</t>
  </si>
  <si>
    <t>Energy-dependent economy adds volatility. OKC more diversified than Tulsa. C-class trades at Midwest secondary levels. Modest population growth.</t>
  </si>
  <si>
    <t>MODERATE — OKC and Tulsa have I-35/I-44 corridor hotels. Energy cycle risk to post-conversion occupancy.</t>
  </si>
  <si>
    <t>Oregon</t>
  </si>
  <si>
    <t>Portland, Eugene, Salem</t>
  </si>
  <si>
    <t>Portland metro has institutional demand but recent population softening. Eugene (university) micro-market. High regulatory/rent control environment.</t>
  </si>
  <si>
    <t>LOW-MODERATE — Portland has hotel conversion interest but rent control and regulatory costs are high.</t>
  </si>
  <si>
    <t>Pennsylvania</t>
  </si>
  <si>
    <t>Philadelphia, Pittsburgh, Allentown</t>
  </si>
  <si>
    <t>Philly suburban C-class 6.0–6.5%. Pittsburgh slightly higher. Allentown/Lehigh Valley secondary at 6.75%+.</t>
  </si>
  <si>
    <t>MODERATE — Philly and Pittsburgh have aging suburban hotel stock suitable for conversion.</t>
  </si>
  <si>
    <t>Rhode Island</t>
  </si>
  <si>
    <t>Providence, Warwick</t>
  </si>
  <si>
    <t>Small NE market. Providence benefits from Boston/NYC connectivity. Limited C-class 100+ unit inventory. Moderate regulatory environment.</t>
  </si>
  <si>
    <t>LOW — Very limited hotel conversion candidates at scale.</t>
  </si>
  <si>
    <t>South Carolina</t>
  </si>
  <si>
    <t>Charleston, Columbia, Greenville, Myrtle Beach</t>
  </si>
  <si>
    <t>Inland SC 5.75–6.25% per Sherman &amp; Hemstreet. Greenville emerging growth market. Charleston tighter due to coastal/tourism demand.</t>
  </si>
  <si>
    <t>MODERATE-HIGH — Myrtle Beach and I-95 corridor have convertible hotel inventory.</t>
  </si>
  <si>
    <t>South Dakota</t>
  </si>
  <si>
    <t>Sioux Falls, Rapid City</t>
  </si>
  <si>
    <t>Very small MF market. Sioux Falls relatively stable. Rapid City tourism-driven (Mt. Rushmore). No state income tax. Limited data.</t>
  </si>
  <si>
    <t>LOW — Limited hotel inventory at scale. Rapid City tourism hotels likely more valuable as-is.</t>
  </si>
  <si>
    <t>Tennessee</t>
  </si>
  <si>
    <t>Nashville, Memphis, Knoxville, Chattanooga</t>
  </si>
  <si>
    <t>Lower build costs make workforce C-class attractive. Nashville strong tourism hotel supply. Memphis 6.5–7.0%. 7-yr IRRs 14–16% on workforce housing.</t>
  </si>
  <si>
    <t>HIGH — Nashville has significant hotel-to-apartment potential along Broadway/Midtown. Memphis offers deep value.</t>
  </si>
  <si>
    <t>Texas</t>
  </si>
  <si>
    <t>Dallas-Fort Worth, Houston, San Antonio, Austin</t>
  </si>
  <si>
    <t>USER ANCHOR. Consistent with CBRE C-class national avg ~5.38% + TX suburban/secondary premium. Strong in-migration. DFW C-class rent growth 3.4% YoY. Austin oversupply risk.</t>
  </si>
  <si>
    <t>HIGH — Large hotel inventory in DFW, Houston, San Antonio. Favorable zoning. No state income tax supports renter demand.</t>
  </si>
  <si>
    <t>Utah</t>
  </si>
  <si>
    <t>Salt Lake City, Provo, Ogden</t>
  </si>
  <si>
    <t>Strong population/job growth. SLC metro tightening. Provo (BYU) micro-market. Tech sector (Silicon Slopes) drives demand. Below-avg cap rates for Mountain West.</t>
  </si>
  <si>
    <t>MODERATE — SLC has some select-service hotel candidates along I-15. Strong renter demand supports conversion.</t>
  </si>
  <si>
    <t>Vermont</t>
  </si>
  <si>
    <t>Burlington, Montpelier</t>
  </si>
  <si>
    <t>Very small MF market. Burlington (university) tightest. Rural/tourist economy. High seasonal variability. Limited institutional activity.</t>
  </si>
  <si>
    <t>LOW — Very limited hotel stock at scale. Tourist lodging likely more valuable as-is.</t>
  </si>
  <si>
    <t>Virginia</t>
  </si>
  <si>
    <t>NoVA, Richmond, Virginia Beach, Hampton Roads</t>
  </si>
  <si>
    <t>NoVA tight due to federal/tech employment. Richmond and Hampton Roads higher caps on C-class. Strong institutional demand in NoVA.</t>
  </si>
  <si>
    <t>MODERATE — Hampton Roads/Richmond have select-service hotels. NoVA very competitive.</t>
  </si>
  <si>
    <t>Washington</t>
  </si>
  <si>
    <t>Seattle, Tacoma, Spokane</t>
  </si>
  <si>
    <t>Seattle among best-performing markets (7.9% total return CBRE Q3 2025). Tight institutional caps. Spokane higher yields. High regulatory environment.</t>
  </si>
  <si>
    <t>LOW-MODERATE — Seattle has conversion interest but regulatory/labor costs high. Spokane more feasible.</t>
  </si>
  <si>
    <t>West Virginia</t>
  </si>
  <si>
    <t>Charleston, Morgantown, Huntington</t>
  </si>
  <si>
    <t>Deep value tertiary. Population decline and economic headwinds. Morgantown (WVU) slightly tighter. Very limited institutional activity.</t>
  </si>
  <si>
    <t>LOW — Limited hotel inventory. Low rents make conversion economics very challenging.</t>
  </si>
  <si>
    <t>Wisconsin</t>
  </si>
  <si>
    <t>Milwaukee, Madison, Green Bay</t>
  </si>
  <si>
    <t>Midwest secondary pricing. Madison (university/state capital) tighter. Milwaukee industrial heritage. Modest population growth.</t>
  </si>
  <si>
    <t>MODERATE — Milwaukee has suburban hotel corridors. Madison limited but stable.</t>
  </si>
  <si>
    <t>Wyoming</t>
  </si>
  <si>
    <t>Cheyenne, Casper, Jackson</t>
  </si>
  <si>
    <t>Very small market. Energy/tourism economy. Jackson Hole is outlier (tight caps but luxury). Cheyenne/Casper deep value. Minimal MF data.</t>
  </si>
  <si>
    <t>LOW — Jackson hotels too valuable as-is. Cheyenne/Casper lack renter demand for conversion.</t>
  </si>
  <si>
    <t>Notes &amp; Methodology</t>
  </si>
  <si>
    <t>1. National avg Class C multifamily cap rate: ~5.38% (CBRE H2 2025). State estimates reflect 100+ unit Class C assets, typically 50–150 bps above institutional national averages.</t>
  </si>
  <si>
    <t>2. Hotel-to-apartment conversions typically underwrite at 50–100 bps above stabilized Class C cap rates due to execution risk, lease-up period, and conversion capex.</t>
  </si>
  <si>
    <t>3. Cap rates shown are for stabilized post-conversion valuation. During lease-up, effective yields may be 100–200 bps higher.</t>
  </si>
  <si>
    <t>4. Sources: CBRE H2 2025 Cap Rate Survey, Freddie Mac Q3 2025, Fannie Mae MF Commentary, Marcus &amp; Millichap, Yardi Matrix, Sherman &amp; Hemstreet, ApartmentLoanStore, CoStar.</t>
  </si>
  <si>
    <t>5. Texas and Colorado anchored per user input at 6.50%. All other states estimated relative to these anchors, available market data, and regional risk/growth differentials.</t>
  </si>
  <si>
    <t>6. Hotel Conversion Relevance ratings: HIGH = large hotel inventory + favorable zoning + strong renter demand; MODERATE = some candidates but constraints; LOW = limited inventory or unfavorable economics.</t>
  </si>
  <si>
    <t>Class C Hotel Cap Rates by State — Economy/Budget Segment (Motel 6, Super 8, Days Inn, Red Roof, independents)</t>
  </si>
  <si>
    <t>As of Q1 2026 | Sources: CBRE H2 2025, CoStar, JLL Q1 2025, Crexi, STR, HVS</t>
  </si>
  <si>
    <t>Est. Hotel Cap Rate</t>
  </si>
  <si>
    <t>Range</t>
  </si>
  <si>
    <t>Distress / Conversion Signal</t>
  </si>
  <si>
    <t>11.00%</t>
  </si>
  <si>
    <t>10.00%–12.00%</t>
  </si>
  <si>
    <t>Birmingham, Huntsville, Mobile, Montgomery</t>
  </si>
  <si>
    <t>Tertiary SE. Economy hotels face low ADR ($65-80). Limited corporate demand outside Huntsville. High deferred maintenance.</t>
  </si>
  <si>
    <t>MODERATE — I-65/I-20 corridor budget hotels with declining occupancy. Huntsville stable.</t>
  </si>
  <si>
    <t>12.50%</t>
  </si>
  <si>
    <t>11.50%–14.00%</t>
  </si>
  <si>
    <t>Extreme seasonality. Summer tourism-only demand for budget. Very high operating costs. Near-zero winter occupancy at economy tier.</t>
  </si>
  <si>
    <t>LOW — Seasonal economics make year-round conversion more attractive than hotel operations.</t>
  </si>
  <si>
    <t>9.75%</t>
  </si>
  <si>
    <t>8.75%–10.75%</t>
  </si>
  <si>
    <t>Phoenix, Tucson, Mesa, Scottsdale</t>
  </si>
  <si>
    <t>Phoenix metro has large economy hotel base along I-10/I-17. Tucson softer. Scottsdale skews upscale. New supply pipeline at 10-yr high (5.7% of inventory).</t>
  </si>
  <si>
    <t>HIGH — Phoenix economy hotels facing supply pressure and softening leisure demand. Many flagged properties past PIP cycle.</t>
  </si>
  <si>
    <t>11.50%</t>
  </si>
  <si>
    <t>10.50%–12.50%</t>
  </si>
  <si>
    <t>Deep tertiary. Very low ADR ($55-70). Limited demand drivers outside NWA (Walmart HQ). Interstate highway motels dominate.</t>
  </si>
  <si>
    <t>MODERATE — I-40/I-30 corridor budget motels with aging stock.</t>
  </si>
  <si>
    <t>9.00%</t>
  </si>
  <si>
    <t>7.50%–10.50%</t>
  </si>
  <si>
    <t>LA, Inland Empire, Bay Area, Sacramento, Central Valley</t>
  </si>
  <si>
    <t>Wide spread: coastal gateway 7.5-8.5%, inland/Central Valley 9.5-10.5%. High labor costs (min wage). Regulatory burden. Some distress in urban economy.</t>
  </si>
  <si>
    <t>HIGH — LA/Bay Area economy hotels face labor cost pressure. Inland Empire has large budget motel inventory.</t>
  </si>
  <si>
    <t>10.00%</t>
  </si>
  <si>
    <t>9.00%–11.00%</t>
  </si>
  <si>
    <t>Denver, Colorado Springs, Fort Collins</t>
  </si>
  <si>
    <t>Denver economy hotels near DIA and I-25 corridor softening. Springs more stable. Seasonal mountain resort towns excluded (different economics).</t>
  </si>
  <si>
    <t>HIGH — DIA corridor has surplus economy/extended-stay hotels. I-25 corridor budget motels aging out.</t>
  </si>
  <si>
    <t>Hartford, New Haven, Stamford, Bridgeport</t>
  </si>
  <si>
    <t>Mixed: Fairfield County lower caps (NYC spillover), Hartford/New Haven higher. High operating costs. Moderate corporate demand.</t>
  </si>
  <si>
    <t>MODERATE — I-95/I-91 corridor budget hotels. Hartford economy segment soft.</t>
  </si>
  <si>
    <t>10.25%</t>
  </si>
  <si>
    <t>9.25%–11.25%</t>
  </si>
  <si>
    <t>Wilmington, Dover, Rehoboth Beach</t>
  </si>
  <si>
    <t>Small market. Wilmington corporate demand moderate. Dover limited. Rehoboth seasonal beach demand.</t>
  </si>
  <si>
    <t>LOW-MODERATE — Limited scale. Beach-area hotels have seasonal value.</t>
  </si>
  <si>
    <t>9.50%</t>
  </si>
  <si>
    <t>8.50%–10.75%</t>
  </si>
  <si>
    <t>Orlando, Tampa, Jacksonville, Miami, Ft. Lauderdale</t>
  </si>
  <si>
    <t>Large economy hotel inventory, especially Orlando (I-Drive) and Tampa. Insurance costs crushing budget hotel NOI. Miami gateway tighter.</t>
  </si>
  <si>
    <t>VERY HIGH — Orlando I-Drive corridor has massive distressed economy hotel inventory. Insurance crisis accelerating exits.</t>
  </si>
  <si>
    <t>Atlanta, Augusta, Savannah, Macon</t>
  </si>
  <si>
    <t>Atlanta I-285/I-85 corridor has large economy base. Augusta stable. Savannah tourism supports some. Macon deep value.</t>
  </si>
  <si>
    <t>HIGH — Atlanta suburban economy hotels facing occupancy pressure. I-75/I-85 corridor aging stock.</t>
  </si>
  <si>
    <t>7.00%–9.00%</t>
  </si>
  <si>
    <t>Honolulu, Maui, Big Island</t>
  </si>
  <si>
    <t>Tourism-driven. Even budget hotels command higher ADR ($120+). Very limited economy inventory. Land constraints.</t>
  </si>
  <si>
    <t>LOW — Budget hotels are scarce and still generate strong NOI relative to mainland.</t>
  </si>
  <si>
    <t>10.50%</t>
  </si>
  <si>
    <t>9.50%–11.50%</t>
  </si>
  <si>
    <t>Boise, Idaho Falls, Twin Falls</t>
  </si>
  <si>
    <t>Small market. Boise growth helps but economy tier still tertiary pricing. Idaho Falls (INL/Yellowstone) seasonal.</t>
  </si>
  <si>
    <t>MODERATE — Boise I-84 corridor has some aging budget hotels.</t>
  </si>
  <si>
    <t>9.50%–11.75%</t>
  </si>
  <si>
    <t>Chicago suburbs, Springfield, Rockford, Peoria</t>
  </si>
  <si>
    <t>O'Hare/Rosemont corridor economy hotels under pressure. Downstate very soft. Cook County taxes crush budget hotel NOI.</t>
  </si>
  <si>
    <t>HIGH — O'Hare corridor economy hotels facing airport hotel oversupply. Downstate motels distressed.</t>
  </si>
  <si>
    <t>10.75%</t>
  </si>
  <si>
    <t>9.75%–11.75%</t>
  </si>
  <si>
    <t>Indianapolis, Fort Wayne, South Bend, Evansville</t>
  </si>
  <si>
    <t>Indy airport/convention corridor has economy stock. Fort Wayne/South Bend tertiary. Lower operating costs but low ADR.</t>
  </si>
  <si>
    <t>MODERATE-HIGH — Indianapolis economy hotels near airport facing functional obsolescence.</t>
  </si>
  <si>
    <t>11.25%</t>
  </si>
  <si>
    <t>10.25%–12.25%</t>
  </si>
  <si>
    <t>Des Moines, Cedar Rapids, Iowa City, Davenport</t>
  </si>
  <si>
    <t>Midwest tertiary. Low ADR ($60-75). Iowa City (university) slightly better. Limited corporate demand.</t>
  </si>
  <si>
    <t>MODERATE — I-80/I-35 corridor budget motels. Limited transaction volume.</t>
  </si>
  <si>
    <t>Wichita, Kansas City (KS), Topeka, Manhattan</t>
  </si>
  <si>
    <t>Deep tertiary. Very low ADR. Wichita aviation sector provides some demand. I-70 corridor motels.</t>
  </si>
  <si>
    <t>MODERATE — I-70/I-35 corridor aging motels. Manhattan (K-State) seasonal.</t>
  </si>
  <si>
    <t>Louisville, Lexington, Bowling Green, Covington</t>
  </si>
  <si>
    <t>Louisville convention/bourbon tourism supports some. Lexington (equine/university). I-75/I-65 corridor motels.</t>
  </si>
  <si>
    <t>MODERATE — Louisville economy hotels stable near convention center. I-65 corridor motels aging.</t>
  </si>
  <si>
    <t>10.00%–12.25%</t>
  </si>
  <si>
    <t>New Orleans, Baton Rouge, Shreveport, Lafayette</t>
  </si>
  <si>
    <t>NOLA tourism creates unique surplus. Budget hotels in French Quarter/CBD face quality issues. Baton Rouge industrial demand. Hurricane insurance costs.</t>
  </si>
  <si>
    <t>HIGH — NOLA has oversupply of tired economy hotels. Shreveport casino-area motels distressed.</t>
  </si>
  <si>
    <t>Small market. Portland has tourism demand but seasonal. Bangor/Lewiston very tertiary. High heating costs.</t>
  </si>
  <si>
    <t>LOW — Limited economy hotel scale. Portland seasonal value.</t>
  </si>
  <si>
    <t>8.50%–10.50%</t>
  </si>
  <si>
    <t>Baltimore, Silver Spring, Columbia, Frederick</t>
  </si>
  <si>
    <t>DC metro spillover helps suburban MD. Baltimore city economy hotels face safety/demand issues. BWI corridor moderate.</t>
  </si>
  <si>
    <t>MODERATE-HIGH — Baltimore economy hotels declining. BWI/I-95 corridor has conversion candidates.</t>
  </si>
  <si>
    <t>9.25%</t>
  </si>
  <si>
    <t>8.00%–10.50%</t>
  </si>
  <si>
    <t>Boston suburbs, Worcester, Springfield, Cape Cod</t>
  </si>
  <si>
    <t>Boston metro tight but high labor costs ($15+ min wage). Worcester/Springfield higher caps. Cape Cod seasonal.</t>
  </si>
  <si>
    <t>MODERATE — Route 128/I-95 corridor economy hotels face high operating costs. Springfield distressed.</t>
  </si>
  <si>
    <t>Detroit, Grand Rapids, Lansing, Flint</t>
  </si>
  <si>
    <t>Detroit economy hotels significantly distressed. Grand Rapids more stable. Flint/Saginaw deep value. Auto industry cycles.</t>
  </si>
  <si>
    <t>HIGH — Detroit metro has large distressed economy hotel inventory. Grand Rapids moderate.</t>
  </si>
  <si>
    <t>Twin Cities moderate. Rochester (Mayo Clinic) unique — budget hotels serve patient families. Duluth seasonal.</t>
  </si>
  <si>
    <t>MODERATE — Twin Cities I-494/I-694 corridor economy hotels aging. Rochester stable.</t>
  </si>
  <si>
    <t>12.00%</t>
  </si>
  <si>
    <t>11.00%–13.00%</t>
  </si>
  <si>
    <t>Jackson, Gulfport, Hattiesburg, Tupelo</t>
  </si>
  <si>
    <t>Deepest tertiary SE. Very low ADR ($50-65). Population decline. Gulf Coast insurance costs. Casino corridor (Tunica) collapsed.</t>
  </si>
  <si>
    <t>HIGH — Tunica casino-area hotels nearly abandoned. Jackson I-55 corridor distressed.</t>
  </si>
  <si>
    <t>Kansas City, St. Louis, Springfield, Branson</t>
  </si>
  <si>
    <t>KC/StL secondary. Branson tourism seasonal. I-70 corridor motels. StL facing population decline.</t>
  </si>
  <si>
    <t>MODERATE-HIGH — StL economy hotels declining. Branson off-season distress. I-44/I-70 corridor motels.</t>
  </si>
  <si>
    <t>Billings, Missoula, Great Falls, Bozeman</t>
  </si>
  <si>
    <t>Small market. Bozeman (Yellowstone/Big Sky) tighter but seasonal. Billings more stable year-round. Oil field demand variable.</t>
  </si>
  <si>
    <t>LOW — Tourist-area hotels may be worth more as hotels. Billings has some I-90 corridor candidates.</t>
  </si>
  <si>
    <t>Omaha, Lincoln, Grand Island</t>
  </si>
  <si>
    <t>Small stable market. Omaha (Offutt AFB, financial services) moderate. Lincoln (university) seasonal. I-80 corridor motels.</t>
  </si>
  <si>
    <t>LOW-MODERATE — Omaha I-80 corridor has some aging budget hotels.</t>
  </si>
  <si>
    <t>8.75%–11.00%</t>
  </si>
  <si>
    <t>Las Vegas, Reno, Henderson</t>
  </si>
  <si>
    <t>Vegas economy hotel market is unique — massive inventory, tourism-dependent. Off-Strip economy/extended-stay facing occupancy pressure. Reno moderate.</t>
  </si>
  <si>
    <t>VERY HIGH — Las Vegas has the largest concentration of distressed economy hotels in the US. Active conversion pipeline.</t>
  </si>
  <si>
    <t>Manchester, Nashua, Concord, Portsmouth</t>
  </si>
  <si>
    <t>Small NE market. Southern NH (Boston commuter) tighter. Northern NH seasonal (ski/tourism). No income tax helps operating costs.</t>
  </si>
  <si>
    <t>LOW — Limited scale. Some I-93 corridor candidates.</t>
  </si>
  <si>
    <t>Northern NJ (NYC spillover) tighter. Atlantic City has massive distressed hotel/casino inventory. Turnpike/Parkway corridor motels.</t>
  </si>
  <si>
    <t>VERY HIGH — Atlantic City economy hotels severely distressed. NJ Turnpike/GSP corridor aging motels.</t>
  </si>
  <si>
    <t>Small tertiary market. Albuquerque I-40/I-25 has budget motel concentration (Route 66 legacy). Santa Fe tourism-driven. Las Cruces deep value.</t>
  </si>
  <si>
    <t>MODERATE-HIGH — Albuquerque Central Ave/I-40 has large aging motel inventory (historic Route 66 corridor).</t>
  </si>
  <si>
    <t>NYC, Buffalo, Syracuse, Albany, Rochester</t>
  </si>
  <si>
    <t>NYC gateway tight (7.5-8.5%) but hotel-to-shelter conversions active. Upstate 10-11%. Buffalo/Rochester industrial decline impacts demand.</t>
  </si>
  <si>
    <t>HIGH — NYC has active hotel-to-housing conversion programs. Upstate economy hotels declining.</t>
  </si>
  <si>
    <t>Charlotte, Raleigh, Greensboro, Wilmington</t>
  </si>
  <si>
    <t>Charlotte/Raleigh moderate. Raleigh oversupply risk. Greensboro/Triad softer. I-85/I-40 corridor motels.</t>
  </si>
  <si>
    <t>MODERATE-HIGH — Charlotte and Triad I-85 corridor have aging economy hotels. Raleigh new supply pressures budget tier.</t>
  </si>
  <si>
    <t>11.00%–13.50%</t>
  </si>
  <si>
    <t>Fargo, Bismarck, Williston, Grand Forks</t>
  </si>
  <si>
    <t>Oil boom/bust created hotel surplus in western ND (Williston). Fargo stable. Extremely seasonal. Low ADR.</t>
  </si>
  <si>
    <t>HIGH — Williston/Bakken oil field hotels massively overbuilt. Many sitting near-vacant.</t>
  </si>
  <si>
    <t>Columbus, Cleveland, Cincinnati, Dayton</t>
  </si>
  <si>
    <t>Columbus moderate (university/state capital). Cleveland/Cincinnati higher caps. Dayton deep value. I-71/I-75 corridor motels.</t>
  </si>
  <si>
    <t>MODERATE-HIGH — Cleveland/Dayton economy hotels declining. Columbus more stable.</t>
  </si>
  <si>
    <t>Oklahoma City, Tulsa, Norman</t>
  </si>
  <si>
    <t>Energy-dependent economy adds volatility. OKC more diversified. Tulsa oil cycle risk. I-35/I-44 corridor motels. Low ADR ($60-75).</t>
  </si>
  <si>
    <t>MODERATE-HIGH — OKC/Tulsa economy hotels face energy cycle risk. I-44 corridor aging motels.</t>
  </si>
  <si>
    <t>Portland, Eugene, Salem, Bend</t>
  </si>
  <si>
    <t>Portland economy hotels face unique challenge — homeless/social issues reducing desirability. Eugene (university) moderate. Bend seasonal.</t>
  </si>
  <si>
    <t>HIGH — Portland economy hotels facing social challenges and occupancy decline. Some already converting.</t>
  </si>
  <si>
    <t>Philadelphia, Pittsburgh, Allentown, Harrisburg</t>
  </si>
  <si>
    <t>Philly suburbs moderate. Pittsburgh slightly higher. Lehigh Valley/I-78 corridor. Harrisburg/I-81 corridor motels.</t>
  </si>
  <si>
    <t>MODERATE — Philly/Pittsburgh suburban economy hotels aging. I-76/I-81 corridor motels.</t>
  </si>
  <si>
    <t>Providence, Warwick, Newport</t>
  </si>
  <si>
    <t>Small market. Providence (Brown/RISD) has some demand. Warwick (T.F. Green airport) moderate. Newport seasonal/tourism.</t>
  </si>
  <si>
    <t>LOW — Very limited scale.</t>
  </si>
  <si>
    <t>Myrtle Beach has large seasonal economy hotel base. Charleston tourism-driven. Columbia/Greenville moderate. I-95 corridor motels.</t>
  </si>
  <si>
    <t>HIGH — Myrtle Beach off-season economy hotels significantly underperforming. I-95 corridor aging.</t>
  </si>
  <si>
    <t>Sioux Falls, Rapid City, Mitchell</t>
  </si>
  <si>
    <t>Very small market. Rapid City (Mt. Rushmore) seasonal. Sioux Falls stable but small. I-90 corridor motels.</t>
  </si>
  <si>
    <t>LOW — Limited hotel inventory. Seasonal tourism economics.</t>
  </si>
  <si>
    <t>Nashville has hotel oversupply from tourism boom. Memphis soft. Knoxville/Chattanooga moderate. Broadway/Midtown economy hotels pressured.</t>
  </si>
  <si>
    <t>VERY HIGH — Nashville economy hotels facing oversupply and declining occupancy. Memphis economy hotels distressed.</t>
  </si>
  <si>
    <t>Dallas-Fort Worth, Houston, San Antonio, Austin, El Paso</t>
  </si>
  <si>
    <t>Large economy hotel inventory statewide. DFW/Houston have massive suburban budget hotel base. Austin oversupply. San Antonio tourism. El Paso border economy.</t>
  </si>
  <si>
    <t>VERY HIGH — DFW and Houston have largest economy hotel inventory in South. Austin oversupply crushing budget tier.</t>
  </si>
  <si>
    <t>Salt Lake City, Provo, Ogden, St. George</t>
  </si>
  <si>
    <t>SLC moderate. I-15 corridor economy hotels. Seasonal mountain resort excluded. Strong population growth helps renter demand post-conversion.</t>
  </si>
  <si>
    <t>MODERATE — SLC I-15 corridor has economy hotels suitable for conversion. Strong post-conversion rental demand.</t>
  </si>
  <si>
    <t>Burlington, Montpelier, Rutland</t>
  </si>
  <si>
    <t>Very small market. Extreme seasonality (ski/leaf season). Burlington (UVM) slightly tighter. High operating costs.</t>
  </si>
  <si>
    <t>LOW — Tourist lodging likely worth more as-is. Very limited scale.</t>
  </si>
  <si>
    <t>NoVA, Richmond, Virginia Beach, Hampton Roads, Roanoke</t>
  </si>
  <si>
    <t>NoVA gateway tight (8.75-9.5%). Richmond/Hampton Roads moderate. Roanoke/SW VA higher. Military base demand in Hampton Roads.</t>
  </si>
  <si>
    <t>MODERATE — Hampton Roads economy hotels face military budget dependence. Richmond I-95 corridor moderate.</t>
  </si>
  <si>
    <t>8.25%–10.25%</t>
  </si>
  <si>
    <t>Seattle, Tacoma, Spokane, Vancouver</t>
  </si>
  <si>
    <t>Seattle economy hotels face high labor costs and social challenges similar to Portland. Spokane higher caps. Tacoma moderate.</t>
  </si>
  <si>
    <t>HIGH — Seattle economy hotels facing occupancy and social challenges. Some already in conversion pipeline.</t>
  </si>
  <si>
    <t>11.50%–13.50%</t>
  </si>
  <si>
    <t>Charleston, Morgantown, Huntington, Wheeling</t>
  </si>
  <si>
    <t>Deep value tertiary. Population decline. Very low ADR ($50-60). Morgantown (WVU) only bright spot. I-77/I-64 corridor motels.</t>
  </si>
  <si>
    <t>MODERATE — Many I-77/I-64 corridor motels effectively abandoned. Low rents make conversion uneconomic.</t>
  </si>
  <si>
    <t>Milwaukee, Madison, Green Bay, Appleton</t>
  </si>
  <si>
    <t>Milwaukee moderate. Madison (university/state capital) tighter. Green Bay seasonal (Packers). Dells seasonal tourism.</t>
  </si>
  <si>
    <t>MODERATE — Milwaukee I-94 corridor economy hotels aging. Wisconsin Dells seasonal distress.</t>
  </si>
  <si>
    <t>Cheyenne, Casper, Jackson, Cody</t>
  </si>
  <si>
    <t>Very small market. Jackson is luxury outlier (excluded). Cheyenne/Casper energy economy. Cody (Yellowstone) seasonal. Very low ADR.</t>
  </si>
  <si>
    <t>LOW — Limited scale. Energy/tourism dependency. Jackson hotels too valuable.</t>
  </si>
  <si>
    <t>Hotel-to-Apartment Conversion Spread Analysis — Class C Hotel vs. Class C Multifamily (100+ Units)</t>
  </si>
  <si>
    <t>Larger spread = greater arbitrage opportunity for hotel-to-apartment conversion | Sorted by spread (largest first)</t>
  </si>
  <si>
    <t>Rank</t>
  </si>
  <si>
    <t>Hotel Cap Rate</t>
  </si>
  <si>
    <t>MF Cap Rate</t>
  </si>
  <si>
    <t>SPREAD (bps)</t>
  </si>
  <si>
    <t>Spread %</t>
  </si>
  <si>
    <t>Key Conversion Market</t>
  </si>
  <si>
    <t>Conversion Thesis</t>
  </si>
  <si>
    <t>Anchorage has limited candidates. Extreme costs offset large spread. Theoretical only.</t>
  </si>
  <si>
    <t>Largest spread but economics don't work — rents too low to justify conversion costs.</t>
  </si>
  <si>
    <t>Largest spread but lowest rents. Tunica casino hotels → ? Economics very challenging despite spread.</t>
  </si>
  <si>
    <t>Williston/Bakken oil field hotels → ? Population too thin for MF. High risk despite spread.</t>
  </si>
  <si>
    <t>Birmingham I-65 corridor economy hotels → workforce housing. Moderate rents limit upside.</t>
  </si>
  <si>
    <t>Little Rock/NWA interstate motels. Low rents limit conversion economics despite wide spread.</t>
  </si>
  <si>
    <t>Very limited scale. Wilmington suburban only.</t>
  </si>
  <si>
    <t>Atlanta (I-285/I-85)</t>
  </si>
  <si>
    <t>Atlanta I-285/I-85 suburban economy hotels → workforce housing. Strong in-migration. TOP TARGET.</t>
  </si>
  <si>
    <t>Boise I-84 corridor. Small scale but growing rental demand.</t>
  </si>
  <si>
    <t>Des Moines I-80/I-35 corridor. Limited scale and demand.</t>
  </si>
  <si>
    <t>KC metro (KS side) I-35 corridor. Very limited opportunity.</t>
  </si>
  <si>
    <t>StL/KC economy hotels → workforce housing. Moderate opportunity.</t>
  </si>
  <si>
    <t>Omaha I-80 corridor. Limited scale.</t>
  </si>
  <si>
    <t>Albuquerque Route 66/I-40 motel corridor. Unique historic stock. Moderate rents.</t>
  </si>
  <si>
    <t>Charlotte, Greensboro</t>
  </si>
  <si>
    <t>Charlotte/Triad I-85 corridor economy hotels → apartments. Strong renter demand. TOP TARGET.</t>
  </si>
  <si>
    <t>Very limited. Seasonal tourism economics.</t>
  </si>
  <si>
    <t>Salt Lake City (I-15)</t>
  </si>
  <si>
    <t>SLC I-15 corridor → apartments. Strong renter demand, population growth. GOOD OPPORTUNITY.</t>
  </si>
  <si>
    <t>Hampton Roads, Richmond</t>
  </si>
  <si>
    <t>Hampton Roads/Richmond I-95/I-64 economy hotels → apartments. Military/university demand.</t>
  </si>
  <si>
    <t>Milwaukee I-94 corridor. Moderate opportunity.</t>
  </si>
  <si>
    <t>Very limited. No meaningful conversion market.</t>
  </si>
  <si>
    <t>Phoenix (I-10/I-17)</t>
  </si>
  <si>
    <t>Phoenix I-10/I-17 economy hotels → apartments. Strong renter demand, dry climate, low rehab costs. TOP TARGET.</t>
  </si>
  <si>
    <t>Hartford/New Haven I-91 corridor. Moderate opportunity, high operating costs.</t>
  </si>
  <si>
    <t>Chicago suburbs (O'Hare)</t>
  </si>
  <si>
    <t>O'Hare/Rosemont corridor → apartments. Cook County taxes are major risk. Suburban Chicago only.</t>
  </si>
  <si>
    <t>Indianapolis</t>
  </si>
  <si>
    <t>Indianapolis airport/I-465 corridor → workforce housing. Low acquisition costs. Moderate opportunity.</t>
  </si>
  <si>
    <t>Louisville I-65 corridor. Moderate rents, moderate opportunity.</t>
  </si>
  <si>
    <t>New Orleans</t>
  </si>
  <si>
    <t>New Orleans surplus economy hotels → housing. Unique market. Insurance costs are critical risk.</t>
  </si>
  <si>
    <t>Portland limited. Seasonal dynamics complicate year-round conversion.</t>
  </si>
  <si>
    <t>Baltimore, BWI corridor</t>
  </si>
  <si>
    <t>Baltimore/BWI I-95 corridor → apartments. DC metro spillover helps renter demand.</t>
  </si>
  <si>
    <t>Springfield/Worcester economy hotels. Boston too expensive. Moderate opportunity.</t>
  </si>
  <si>
    <t>Detroit, Grand Rapids</t>
  </si>
  <si>
    <t>Detroit metro distressed economy hotels → affordable housing. Very low acquisition but very low rents. HIGH RISK.</t>
  </si>
  <si>
    <t>Twin Cities I-494/I-694 corridor → apartments. Moderate opportunity.</t>
  </si>
  <si>
    <t>Very limited. Tourist hotels worth more as-is.</t>
  </si>
  <si>
    <t>Las Vegas (off-Strip)</t>
  </si>
  <si>
    <t>Las Vegas off-Strip economy hotels → apartments. Active conversion pipeline. PROVEN MARKET.</t>
  </si>
  <si>
    <t>I-93 southern corridor. Very limited scale.</t>
  </si>
  <si>
    <t>Atlantic City, Turnpike corridor</t>
  </si>
  <si>
    <t>Atlantic City distressed hotels → housing. NJ Turnpike corridor motels. UNIQUE OPPORTUNITY.</t>
  </si>
  <si>
    <t>Columbus, Cleveland</t>
  </si>
  <si>
    <t>Columbus/Cleveland/Cincinnati economy hotels → workforce housing. Low acquisition, moderate rents.</t>
  </si>
  <si>
    <t>OKC/Tulsa I-35/I-44 corridor. Energy cycle risk to post-conversion demand.</t>
  </si>
  <si>
    <t>Portland</t>
  </si>
  <si>
    <t>Portland economy hotels already converting due to social pressures. Regulatory costs high.</t>
  </si>
  <si>
    <t>Philadelphia, Pittsburgh</t>
  </si>
  <si>
    <t>Philly/Pittsburgh suburban economy hotels → apartments. Moderate opportunity.</t>
  </si>
  <si>
    <t>Very limited scale.</t>
  </si>
  <si>
    <t>Myrtle Beach, I-95</t>
  </si>
  <si>
    <t>Myrtle Beach off-season distressed + I-95 corridor. Greenville growing. GOOD OPPORTUNITY.</t>
  </si>
  <si>
    <t>Nashville, Memphis</t>
  </si>
  <si>
    <t>Nashville hotel oversupply → apartments. Memphis deep value. TOP TARGET.</t>
  </si>
  <si>
    <t>Very limited. Tourist lodging more valuable as-is.</t>
  </si>
  <si>
    <t>Seattle, Spokane</t>
  </si>
  <si>
    <t>Seattle economy hotels converting due to social challenges. High costs. Spokane better economics.</t>
  </si>
  <si>
    <t>Inland Empire, Central Valley</t>
  </si>
  <si>
    <t>Inland Empire/Central Valley budget motels → affordable housing. Coastal too expensive. AB 2011 streamlining helps.</t>
  </si>
  <si>
    <t>Denver (DIA/I-25)</t>
  </si>
  <si>
    <t>Denver DIA corridor + I-25 economy hotels → apartments. Strong renter demand, favorable demographics. TOP TARGET.</t>
  </si>
  <si>
    <t>DFW, Houston, Austin, San Antonio</t>
  </si>
  <si>
    <t>DFW/Houston massive economy hotel inventory → apartments. No income tax, strong demand. #1 TARGET MARKET.</t>
  </si>
  <si>
    <t>Orlando, Tampa, Jacksonville</t>
  </si>
  <si>
    <t>Orlando I-Drive + Tampa corridor → apartments. Massive inventory. Insurance is key risk. TOP TARGET.</t>
  </si>
  <si>
    <t>NYC, Buffalo</t>
  </si>
  <si>
    <t>NYC hotel-to-housing conversions ALREADY ACTIVE (city programs). Upstate economy hotels declining. TOP TARGET.</t>
  </si>
  <si>
    <t>Spread too narrow. Budget hotels still generate strong NOI. Not a conversion market.</t>
  </si>
  <si>
    <t>Interpretation Guide</t>
  </si>
  <si>
    <t>GREEN (375+ bps): Strong conversion arbitrage — hotel acquisition at high cap rate, stabilize as MF at much lower cap rate = significant value creation.</t>
  </si>
  <si>
    <t>YELLOW (325–374 bps): Moderate arbitrage — conversion may pencil with favorable acquisition pricing and manageable conversion costs.</t>
  </si>
  <si>
    <t>RED (&lt;325 bps): Narrow spread — conversion economics are tight. Only works with distressed acquisition pricing or unique circumstances.</t>
  </si>
  <si>
    <t>IMPORTANT: Wide spread alone does not guarantee feasibility. Must also consider: (1) local rents sufficient to cover conversion debt service, (2) conversion capex ($15K-$40K/key typical), (3) zoning/entitlement feasibility, (4) post-conversion operating costs.</t>
  </si>
  <si>
    <t>Top target markets combine: wide spread + strong renter demand + large economy hotel inventory + favorable zoning = TX, FL, NV, TN, GA, AZ, CO, NC.</t>
  </si>
  <si>
    <t>Sources: CBRE H2 2025, CoStar (economy hotel ~10.5% national avg), JLL Q1 2025, Crexi Q3 2025, STR, Fannie Mae, Freddie Mac, Marcus &amp; Millichap.</t>
  </si>
  <si>
    <t>Conversion Feasibility (Zoning / Tenant Protection / Regulatory)</t>
  </si>
  <si>
    <t>Conversion Category</t>
  </si>
  <si>
    <t>[A] VERY FAVORABLE — No rent control. 7-day eviction notice. No state landlord licensing. Rezoning typically straightforward in Birmingham/Huntsville — most commercial zones allow MF by right or conditional use. Minimal tenant protection. Low regulatory burden.</t>
  </si>
  <si>
    <t>A</t>
  </si>
  <si>
    <t>[C] NEUTRAL — No rent control. Landlord-friendly eviction. But very small market, limited municipal planning staff means slow processing. Remote locations complicate inspections. Building codes strict due to climate (seismic, insulation).</t>
  </si>
  <si>
    <t>C</t>
  </si>
  <si>
    <t>[A] VERY FAVORABLE — No rent control statewide (state preemption). Fast eviction (5-day notice). Low property taxes (0.51%). Many Phoenix/Tucson commercial zones allow MF by right. Streamlined permitting in growth corridors. Strong landlord protections.</t>
  </si>
  <si>
    <t>[A] VERY FAVORABLE — No rent control. No limits on late fees or security deposits. Fast eviction (3-day for nonpayment). Minimal zoning complexity in Little Rock/NWA. Very low regulatory burden. But limited market depth.</t>
  </si>
  <si>
    <t>[F] VERY UNFAVORABLE — Statewide rent control (AB 1482: 5% + CPI cap). Just cause eviction required. CEQA environmental review for conversions. Extensive entitlement process (6-18 months). High labor costs. Some streamlining under AB 2011 for affordable conversions but very complex. Strongest tenant protections in US.</t>
  </si>
  <si>
    <t>F</t>
  </si>
  <si>
    <t>[B] FAVORABLE — No statewide rent control (though Denver has some local regulations). Reasonable eviction timelines. Low property taxes (0.48%). Denver requires rental licensing ('Healthy Residential Rentals for All'). Most commercial zones in Denver/Springs allow MF with conditional use. Moderate regulatory burden.</t>
  </si>
  <si>
    <t>B</t>
  </si>
  <si>
    <t>[D] UNFAVORABLE — 'Just cause' eviction laws. High property taxes. Local rent caps in some municipalities. Lengthy eviction process. Rezoning can be slow in older municipalities with complex zoning overlays. Strong tenant protections statewide.</t>
  </si>
  <si>
    <t>D</t>
  </si>
  <si>
    <t>[B] FAVORABLE — No rent control. Reasonable eviction process. Small state means fewer bureaucratic layers. Wilmington rezoning relatively straightforward. Limited tenant protections beyond basic habitability.</t>
  </si>
  <si>
    <t>[A] VERY FAVORABLE — State preemption of local rent control. Fast eviction (3-day notice for nonpayment). No state income tax. Most commercial zones allow MF. Streamlined permitting in growth markets (Orlando, Tampa, Jacksonville). Very landlord-friendly. Insurance costs are the main risk, not regulation.</t>
  </si>
  <si>
    <t>[A] VERY FAVORABLE — No rent control. 3-day eviction notice for nonpayment. No state landlord licensing. Atlanta metro commercial zones generally allow MF by right or conditional use. Very landlord-friendly legal environment. Low regulatory burden.</t>
  </si>
  <si>
    <t>[D] UNFAVORABLE — Rent control in some areas (Honolulu has rent guidelines). Strong tenant protections. Very limited development land. Lengthy permitting. High construction costs. Tourism preservation advocacy opposes hotel conversions.</t>
  </si>
  <si>
    <t>[A] VERY FAVORABLE — No rent control. Fast eviction (3-day notice). No limits on security deposits. Boise rezoning relatively fast for growing market. Minimal regulatory burden. Very landlord-friendly.</t>
  </si>
  <si>
    <t>[C-] MIXED/UNFAVORABLE — No statewide rent control BUT Chicago has extensive tenant protections (RLTO), just cause eviction, and rent control proposals. Cook County has additional tenant protections. Outside Chicago, very landlord-friendly. Rezoning in Chicago can take 6-12 months. Suburban IL much easier.</t>
  </si>
  <si>
    <t>C-</t>
  </si>
  <si>
    <t>[A] VERY FAVORABLE — No rent control. Immediate eviction for waste/damage. 10-day notice for nonpayment. No limits on late fees. Indianapolis rezoning straightforward. Very low regulatory burden. One of the most landlord-friendly states.</t>
  </si>
  <si>
    <t>[B+] FAVORABLE — No rent control. Reasonable eviction process (3-day notice). No landlord licensing. Des Moines/Cedar Rapids rezoning moderate complexity. Low tenant protections. Affordable operating environment.</t>
  </si>
  <si>
    <t>B+</t>
  </si>
  <si>
    <t>[A] VERY FAVORABLE — No rent control. Fast eviction (3-day for nonpayment in some cases). No limits on security deposits or late fees. Minimal zoning complexity. Very low regulatory burden.</t>
  </si>
  <si>
    <t>[B+] FAVORABLE — No rent control. 7-day eviction notice. No limits on late fees. Louisville/Lexington rezoning moderate complexity. Low tenant protections. Reasonable regulatory environment.</t>
  </si>
  <si>
    <t>[B] FAVORABLE — No rent control. Fast eviction (5-day notice). Landlord-friendly courts. New Orleans has some local tenant protections and historic preservation overlays that complicate hotel conversions. Outside NOLA, very easy regulatory environment.</t>
  </si>
  <si>
    <t>[C] NEUTRAL — Portland has rent control (voter-approved 2020) and just cause eviction. State-level moderate tenant protections. Small market means limited planning staff. Outside Portland, more landlord-friendly but limited opportunity.</t>
  </si>
  <si>
    <t>[C-] MIXED/UNFAVORABLE — Montgomery County and Prince George's County have rent stabilization. Baltimore has strong tenant protections. Eviction process can be lengthy. Some jurisdictions have 'right of first refusal' for tenants. DC metro influence creates more tenant-friendly environment.</t>
  </si>
  <si>
    <t>[F] VERY UNFAVORABLE — Cities can adopt rent control (some considering it). Very strong tenant protections. Lengthy eviction process (can take 3-6 months). Sealed eviction records limit tenant screening. Complex building codes. Rezoning in Boston metro extremely difficult and slow. Relocation fees for rent increases in some jurisdictions.</t>
  </si>
  <si>
    <t>[B] FAVORABLE — No rent control statewide. Reasonable eviction process. Landlords can deduct damages from deposits. Detroit has some local tenant protections but generally landlord-friendly. Rezoning in Detroit relatively fast due to city's pro-development stance. Grand Rapids moderate.</t>
  </si>
  <si>
    <t>[D] UNFAVORABLE — St. Paul has rent control (voter-approved 2021, 3% cap). Minneapolis considering similar. Capped late fees. Slow eviction process. Strong tenant protections statewide. Rezoning in Twin Cities can be slow. Increasingly tenant-friendly regulatory environment.</t>
  </si>
  <si>
    <t>[A] VERY FAVORABLE — No rent control. No limits on late fees, security deposits. Fast eviction. Minimal zoning complexity statewide. Lowest regulatory burden in the country. But market fundamentals are weak.</t>
  </si>
  <si>
    <t>[B+] FAVORABLE — No rent control statewide. Reasonable eviction process. Kansas City and St. Louis have some local tenant protections but generally landlord-friendly. Rezoning in KC/StL moderate complexity. Outside metros, very easy.</t>
  </si>
  <si>
    <t>[B+] FAVORABLE — No rent control. No limits on rent increases. Landlord-friendly eviction. Minimal zoning complexity. But very small market limits practical application.</t>
  </si>
  <si>
    <t>[B+] FAVORABLE — No rent control. Reasonable eviction (3-day for serious violations). No landlord licensing. Omaha/Lincoln rezoning moderate complexity. Low tenant protections. Stable regulatory environment.</t>
  </si>
  <si>
    <t>[B+] FAVORABLE — No statewide rent control (state preemption). Reasonable eviction process. Las Vegas very pro-development with streamlined permitting for conversions. Active hotel-to-apartment conversion pipeline means established precedent. Some recent tenant protection legislation (AB 486) but still landlord-leaning.</t>
  </si>
  <si>
    <t>[B+] FAVORABLE — No rent control. No limits on security deposits. Fast eviction. No state income tax. Limited zoning complexity. Very landlord-friendly but small market.</t>
  </si>
  <si>
    <t>[D] UNFAVORABLE — Many municipalities have rent control ordinances. Strong tenant protections. Lengthy eviction process (can take 2-4 months). High property taxes. Complex zoning in many jurisdictions. Atlantic City may have more flexibility for distressed hotel conversions but still regulatory-heavy.</t>
  </si>
  <si>
    <t>[B] FAVORABLE — No rent control. Reasonable eviction process (3-day for nonpayment). Albuquerque rezoning moderate complexity. Limited tenant protections. Moderate regulatory burden. Small market.</t>
  </si>
  <si>
    <t>[F] VERY UNFAVORABLE — NYC has strongest tenant protections in the US. Rent control and rent stabilization. Just cause eviction. Hotel-to-residential conversions in NYC require navigating Multiple Dwelling Law, Certificate of Occupancy changes, rear-yard requirements, and extensive city review. Can take 12-24 months. Upstate NY much easier but still more regulated than Sunbelt. Good Cause Eviction law (2024) applies statewide.</t>
  </si>
  <si>
    <t>[A] VERY FAVORABLE — No rent control. No notice required for eviction after lease violation. Low property taxes (0.62%). Charlotte/Raleigh commercial zones generally allow MF. Fast permitting in growth markets. Very landlord-friendly. One of the easiest states for hotel conversion.</t>
  </si>
  <si>
    <t>[A] VERY FAVORABLE — No rent control. Minimal tenant protections. Fast eviction. Very low regulatory burden. But extremely small market and oil-economy risk.</t>
  </si>
  <si>
    <t>[B+] FAVORABLE — No rent control statewide. Reasonable eviction process. Columbus/Cincinnati/Cleveland rezoning moderate complexity. Limited tenant protections. Some cities (Columbus) have been considering tenant protections but nothing enacted. Generally landlord-friendly.</t>
  </si>
  <si>
    <t>[A] VERY FAVORABLE — No rent control. Fast eviction (5-day notice). No limits on late fees or security deposits. Minimal zoning complexity. OKC/Tulsa very pro-development. Extremely low regulatory burden.</t>
  </si>
  <si>
    <t>[D-] VERY UNFAVORABLE — Statewide rent control (SB 608: 7% + CPI cap). No rent increases in first year. Just cause eviction required. Portland has additional local tenant protections. Complex permitting process. Strong tenant advocacy. Rezoning in Portland can be lengthy. One of the most tenant-friendly states.</t>
  </si>
  <si>
    <t>D-</t>
  </si>
  <si>
    <t>[B] FAVORABLE — No statewide rent control. 10-day eviction notice. Philadelphia has local tenant protections (Good Cause Eviction ordinance, Fair Practices Act) that make Philly itself more difficult. Pittsburgh moderate. Lehigh Valley/Harrisburg easy. Mixed by jurisdiction.</t>
  </si>
  <si>
    <t>[C] NEUTRAL — No rent control but strong tenant protections. Moderate eviction process. Small market. Providence rezoning moderate complexity. Some 'just cause' eviction protections. Better than MA/CT but more regulated than Sunbelt.</t>
  </si>
  <si>
    <t>[A] VERY FAVORABLE — No rent control. Fast eviction. No limits on security deposits or late fees. Myrtle Beach/Charleston/Greenville commercial zones generally allow MF. Streamlined permitting. Very landlord-friendly. Low regulatory burden.</t>
  </si>
  <si>
    <t>[A] VERY FAVORABLE — No rent control. No limits on late fees. 3-day eviction for nonpayment. Minimal zoning complexity. Extremely low regulatory burden. But very small market.</t>
  </si>
  <si>
    <t>[A] VERY FAVORABLE — No rent control (state preemption). Fast eviction (14-day notice, can be faster). No limits on late fees. Nashville/Memphis commercial zones generally allow MF. State explicitly preempts local rent control. Very landlord-friendly.</t>
  </si>
  <si>
    <t>[A+] MOST FAVORABLE — No rent control (state preemption). 3-day eviction notice. Electronic eviction filing. No state income tax. No limits on late fees or security deposits. Most commercial zones in DFW/Houston/SA allow MF by right or conditional use. Fastest, most landlord-friendly regulatory environment in the US. Established hotel conversion precedent.</t>
  </si>
  <si>
    <t>A+</t>
  </si>
  <si>
    <t>[B+] FAVORABLE — No rent control. Reasonable eviction process. SLC rezoning moderate complexity. Low tenant protections. Pro-development environment. Strong population growth supports conversions.</t>
  </si>
  <si>
    <t>[C-] MIXED/UNFAVORABLE — Burlington has 'just cause' eviction. State has moderate tenant protections. Small planning departments mean slow processing. Some seasonal/tourism zoning complications. Very small market limits practical application.</t>
  </si>
  <si>
    <t>[B] FAVORABLE — No statewide rent control. Reasonable eviction process (5-day for nonpayment). Northern Virginia (Fairfax, Arlington) has more complex zoning and pro-tenant local policies. Richmond/Hampton Roads much easier. Mixed by jurisdiction. Generally landlord-friendly at state level.</t>
  </si>
  <si>
    <t>[D] UNFAVORABLE — Statewide 'just cause' eviction law. Seattle has extensive tenant protections, relocation assistance requirements, and complex permitting. State banned source-of-income discrimination. Capped late fees. Rezoning in Seattle can take 6-12+ months. Spokane much easier. Increasingly tenant-friendly statewide.</t>
  </si>
  <si>
    <t>[B+] FAVORABLE — No rent control. Minimal tenant protections. Fast eviction. Very low regulatory burden. Rezoning easy. But market fundamentals (low rents, population decline) make conversions uneconomic despite favorable regulations.</t>
  </si>
  <si>
    <t>[B] FAVORABLE — No statewide rent control. State preempts local rent control. Reasonable eviction process. Milwaukee/Madison rezoning moderate complexity. Limited tenant protections. Generally landlord-friendly.</t>
  </si>
  <si>
    <t>[A] VERY FAVORABLE — No rent control. Minimal tenant protections. Fast eviction. Very low regulatory burden. But extremely small market.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</si>
</sst>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Calibri"/>
      <charset val="134"/>
      <scheme val="minor"/>
    </font>
    <font>
      <b/>
      <sz val="13"/>
      <name val="Calibri"/>
      <charset val="134"/>
    </font>
    <font>
      <i/>
      <sz val="10"/>
      <color rgb="FF666666"/>
      <name val="Calibri"/>
      <charset val="134"/>
    </font>
    <font>
      <b/>
      <sz val="10"/>
      <color rgb="FFFFFFFF"/>
      <name val="Calibri"/>
      <charset val="134"/>
    </font>
    <font>
      <sz val="9"/>
      <color rgb="FF006100"/>
      <name val="Calibri"/>
      <charset val="134"/>
    </font>
    <font>
      <sz val="9"/>
      <color rgb="FF996633"/>
      <name val="Calibri"/>
      <charset val="134"/>
    </font>
    <font>
      <b/>
      <sz val="9"/>
      <color rgb="FFFF0000"/>
      <name val="Calibri"/>
      <charset val="134"/>
    </font>
    <font>
      <sz val="9"/>
      <color rgb="FF9C6500"/>
      <name val="Calibri"/>
      <charset val="134"/>
    </font>
    <font>
      <sz val="9"/>
      <color rgb="FFC00000"/>
      <name val="Calibri"/>
      <charset val="134"/>
    </font>
    <font>
      <b/>
      <sz val="11"/>
      <name val="Calibri"/>
      <charset val="134"/>
    </font>
    <font>
      <sz val="9"/>
      <color rgb="FF666666"/>
      <name val="Calibri"/>
      <charset val="134"/>
    </font>
    <font>
      <b/>
      <sz val="12"/>
      <color rgb="FF006100"/>
      <name val="Calibri"/>
      <charset val="134"/>
    </font>
    <font>
      <b/>
      <sz val="12"/>
      <color rgb="FF9C6500"/>
      <name val="Calibri"/>
      <charset val="134"/>
    </font>
    <font>
      <b/>
      <sz val="12"/>
      <color rgb="FF9C0006"/>
      <name val="Calibri"/>
      <charset val="134"/>
    </font>
    <font>
      <b/>
      <sz val="11"/>
      <color rgb="FFC00000"/>
      <name val="Calibri"/>
      <charset val="134"/>
    </font>
    <font>
      <b/>
      <sz val="14"/>
      <name val="Calibri"/>
      <charset val="134"/>
    </font>
    <font>
      <b/>
      <sz val="11"/>
      <color rgb="FFFFFFFF"/>
      <name val="Calibri"/>
      <charset val="134"/>
    </font>
    <font>
      <b/>
      <sz val="11"/>
      <color rgb="FF0000FF"/>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C00000"/>
        <bgColor indexed="64"/>
      </patternFill>
    </fill>
    <fill>
      <patternFill patternType="solid">
        <fgColor rgb="FFFFF2F2"/>
        <bgColor indexed="64"/>
      </patternFill>
    </fill>
    <fill>
      <patternFill patternType="solid">
        <fgColor rgb="FF1F4E79"/>
        <bgColor indexed="64"/>
      </patternFill>
    </fill>
    <fill>
      <patternFill patternType="solid">
        <fgColor rgb="FFF2F7FC"/>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rgb="FF2F5496"/>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11" borderId="2"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3" applyNumberFormat="0" applyFill="0" applyAlignment="0" applyProtection="0">
      <alignment vertical="center"/>
    </xf>
    <xf numFmtId="0" fontId="24" fillId="0" borderId="3" applyNumberFormat="0" applyFill="0" applyAlignment="0" applyProtection="0">
      <alignment vertical="center"/>
    </xf>
    <xf numFmtId="0" fontId="25" fillId="0" borderId="4" applyNumberFormat="0" applyFill="0" applyAlignment="0" applyProtection="0">
      <alignment vertical="center"/>
    </xf>
    <xf numFmtId="0" fontId="25" fillId="0" borderId="0" applyNumberFormat="0" applyFill="0" applyBorder="0" applyAlignment="0" applyProtection="0">
      <alignment vertical="center"/>
    </xf>
    <xf numFmtId="0" fontId="26" fillId="12" borderId="5" applyNumberFormat="0" applyAlignment="0" applyProtection="0">
      <alignment vertical="center"/>
    </xf>
    <xf numFmtId="0" fontId="27" fillId="10" borderId="6" applyNumberFormat="0" applyAlignment="0" applyProtection="0">
      <alignment vertical="center"/>
    </xf>
    <xf numFmtId="0" fontId="28" fillId="10" borderId="5" applyNumberFormat="0" applyAlignment="0" applyProtection="0">
      <alignment vertical="center"/>
    </xf>
    <xf numFmtId="0" fontId="29" fillId="13" borderId="7" applyNumberFormat="0" applyAlignment="0" applyProtection="0">
      <alignment vertical="center"/>
    </xf>
    <xf numFmtId="0" fontId="30" fillId="0" borderId="8" applyNumberFormat="0" applyFill="0" applyAlignment="0" applyProtection="0">
      <alignment vertical="center"/>
    </xf>
    <xf numFmtId="0" fontId="31" fillId="0" borderId="9" applyNumberFormat="0" applyFill="0" applyAlignment="0" applyProtection="0">
      <alignment vertical="center"/>
    </xf>
    <xf numFmtId="0" fontId="32" fillId="6" borderId="0" applyNumberFormat="0" applyBorder="0" applyAlignment="0" applyProtection="0">
      <alignment vertical="center"/>
    </xf>
    <xf numFmtId="0" fontId="33" fillId="8" borderId="0" applyNumberFormat="0" applyBorder="0" applyAlignment="0" applyProtection="0">
      <alignment vertical="center"/>
    </xf>
    <xf numFmtId="0" fontId="34" fillId="7" borderId="0" applyNumberFormat="0" applyBorder="0" applyAlignment="0" applyProtection="0">
      <alignment vertical="center"/>
    </xf>
    <xf numFmtId="0" fontId="35" fillId="14"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5" fillId="25" borderId="0" applyNumberFormat="0" applyBorder="0" applyAlignment="0" applyProtection="0">
      <alignment vertical="center"/>
    </xf>
    <xf numFmtId="0" fontId="35"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5" fillId="37" borderId="0" applyNumberFormat="0" applyBorder="0" applyAlignment="0" applyProtection="0">
      <alignment vertical="center"/>
    </xf>
  </cellStyleXfs>
  <cellXfs count="36">
    <xf numFmtId="0" fontId="0" fillId="0" borderId="0" xfId="0"/>
    <xf numFmtId="0" fontId="1" fillId="0" borderId="0" xfId="0" applyFont="1"/>
    <xf numFmtId="0" fontId="2" fillId="0" borderId="0" xfId="0" applyFont="1"/>
    <xf numFmtId="0" fontId="3" fillId="2" borderId="0" xfId="0" applyFont="1" applyFill="1" applyAlignment="1">
      <alignment horizontal="center" wrapText="1"/>
    </xf>
    <xf numFmtId="0" fontId="0" fillId="3" borderId="1" xfId="0" applyFill="1" applyBorder="1" applyAlignment="1">
      <alignment vertical="top" wrapText="1"/>
    </xf>
    <xf numFmtId="0" fontId="4" fillId="3" borderId="1" xfId="0" applyFont="1" applyFill="1" applyBorder="1" applyAlignment="1">
      <alignment vertical="top" wrapText="1"/>
    </xf>
    <xf numFmtId="0" fontId="0" fillId="0" borderId="1" xfId="0"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vertical="top" wrapText="1"/>
    </xf>
    <xf numFmtId="0" fontId="6" fillId="3" borderId="1" xfId="0" applyFont="1" applyFill="1" applyBorder="1" applyAlignment="1">
      <alignment vertical="top" wrapText="1"/>
    </xf>
    <xf numFmtId="0" fontId="7" fillId="0" borderId="1" xfId="0" applyFont="1" applyBorder="1" applyAlignment="1">
      <alignment vertical="top" wrapText="1"/>
    </xf>
    <xf numFmtId="0" fontId="8" fillId="3" borderId="1" xfId="0" applyFont="1" applyFill="1" applyBorder="1" applyAlignment="1">
      <alignment vertical="top" wrapText="1"/>
    </xf>
    <xf numFmtId="0" fontId="5" fillId="3" borderId="1" xfId="0" applyFont="1" applyFill="1" applyBorder="1" applyAlignment="1">
      <alignment vertical="top" wrapText="1"/>
    </xf>
    <xf numFmtId="0" fontId="7" fillId="3" borderId="1" xfId="0" applyFont="1" applyFill="1" applyBorder="1" applyAlignment="1">
      <alignment vertical="top" wrapText="1"/>
    </xf>
    <xf numFmtId="0" fontId="8" fillId="0" borderId="1" xfId="0" applyFont="1" applyBorder="1" applyAlignment="1">
      <alignment vertical="top" wrapText="1"/>
    </xf>
    <xf numFmtId="0" fontId="6" fillId="0" borderId="1" xfId="0" applyFont="1" applyBorder="1" applyAlignment="1">
      <alignment vertical="top" wrapText="1"/>
    </xf>
    <xf numFmtId="0" fontId="3" fillId="4" borderId="0" xfId="0" applyFont="1" applyFill="1" applyAlignment="1">
      <alignment horizontal="center" wrapText="1"/>
    </xf>
    <xf numFmtId="0" fontId="0" fillId="5" borderId="1" xfId="0" applyFill="1" applyBorder="1" applyAlignment="1">
      <alignment horizontal="center"/>
    </xf>
    <xf numFmtId="0" fontId="0" fillId="5" borderId="1" xfId="0" applyFill="1" applyBorder="1"/>
    <xf numFmtId="10" fontId="0" fillId="5" borderId="1" xfId="0" applyNumberFormat="1" applyFill="1" applyBorder="1" applyAlignment="1">
      <alignment horizontal="center"/>
    </xf>
    <xf numFmtId="0" fontId="0" fillId="0" borderId="1" xfId="0" applyBorder="1" applyAlignment="1">
      <alignment horizontal="center"/>
    </xf>
    <xf numFmtId="0" fontId="0" fillId="0" borderId="1" xfId="0" applyBorder="1"/>
    <xf numFmtId="10" fontId="0" fillId="0" borderId="1" xfId="0" applyNumberFormat="1" applyBorder="1" applyAlignment="1">
      <alignment horizontal="center"/>
    </xf>
    <xf numFmtId="0" fontId="9" fillId="0" borderId="0" xfId="0" applyFont="1"/>
    <xf numFmtId="0" fontId="10" fillId="0" borderId="0" xfId="0" applyFont="1"/>
    <xf numFmtId="0" fontId="11" fillId="6" borderId="1" xfId="0" applyFont="1" applyFill="1" applyBorder="1" applyAlignment="1">
      <alignment horizontal="center"/>
    </xf>
    <xf numFmtId="0" fontId="0" fillId="5" borderId="1" xfId="0" applyFill="1" applyBorder="1" applyAlignment="1">
      <alignment vertical="top" wrapText="1"/>
    </xf>
    <xf numFmtId="0" fontId="12" fillId="7" borderId="1" xfId="0" applyFont="1" applyFill="1" applyBorder="1" applyAlignment="1">
      <alignment horizontal="center"/>
    </xf>
    <xf numFmtId="0" fontId="13" fillId="8" borderId="1" xfId="0" applyFont="1" applyFill="1" applyBorder="1" applyAlignment="1">
      <alignment horizontal="center"/>
    </xf>
    <xf numFmtId="0" fontId="14" fillId="3" borderId="1" xfId="0" applyFont="1" applyFill="1" applyBorder="1" applyAlignment="1">
      <alignment horizontal="center" vertical="top"/>
    </xf>
    <xf numFmtId="0" fontId="14" fillId="0" borderId="1" xfId="0" applyFont="1" applyBorder="1" applyAlignment="1">
      <alignment horizontal="center" vertical="top"/>
    </xf>
    <xf numFmtId="0" fontId="15" fillId="0" borderId="0" xfId="0" applyFont="1"/>
    <xf numFmtId="0" fontId="16" fillId="9" borderId="0" xfId="0" applyFont="1" applyFill="1" applyAlignment="1">
      <alignment horizontal="center" wrapText="1"/>
    </xf>
    <xf numFmtId="0" fontId="0" fillId="10" borderId="1" xfId="0" applyFill="1" applyBorder="1" applyAlignment="1">
      <alignment vertical="top" wrapText="1"/>
    </xf>
    <xf numFmtId="0" fontId="17" fillId="10" borderId="1" xfId="0" applyFont="1" applyFill="1" applyBorder="1" applyAlignment="1">
      <alignment horizontal="center" vertical="top"/>
    </xf>
    <xf numFmtId="0" fontId="17"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2"/>
  <sheetViews>
    <sheetView zoomScale="89" zoomScaleNormal="89" workbookViewId="0">
      <selection activeCell="F32" sqref="F32"/>
    </sheetView>
  </sheetViews>
  <sheetFormatPr defaultColWidth="8.8359375" defaultRowHeight="16.8" outlineLevelCol="5"/>
  <cols>
    <col min="1" max="1" width="16" customWidth="1"/>
    <col min="2" max="2" width="14" customWidth="1"/>
    <col min="3" max="3" width="18" customWidth="1"/>
    <col min="4" max="4" width="32" customWidth="1"/>
    <col min="5" max="5" width="58" customWidth="1"/>
    <col min="6" max="6" width="51" customWidth="1"/>
  </cols>
  <sheetData>
    <row r="1" ht="20.4" spans="1:1">
      <c r="A1" s="31" t="s">
        <v>0</v>
      </c>
    </row>
    <row r="2" spans="1:1">
      <c r="A2" s="2" t="s">
        <v>1</v>
      </c>
    </row>
    <row r="4" ht="17" spans="1:6">
      <c r="A4" s="32" t="s">
        <v>2</v>
      </c>
      <c r="B4" s="32" t="s">
        <v>3</v>
      </c>
      <c r="C4" s="32" t="s">
        <v>4</v>
      </c>
      <c r="D4" s="32" t="s">
        <v>5</v>
      </c>
      <c r="E4" s="32" t="s">
        <v>6</v>
      </c>
      <c r="F4" s="32" t="s">
        <v>7</v>
      </c>
    </row>
    <row r="5" ht="34" spans="1:6">
      <c r="A5" s="33" t="s">
        <v>8</v>
      </c>
      <c r="B5" s="34" t="s">
        <v>9</v>
      </c>
      <c r="C5" s="33" t="s">
        <v>10</v>
      </c>
      <c r="D5" s="33" t="s">
        <v>11</v>
      </c>
      <c r="E5" s="33" t="s">
        <v>12</v>
      </c>
      <c r="F5" s="33" t="s">
        <v>13</v>
      </c>
    </row>
    <row r="6" ht="51" spans="1:6">
      <c r="A6" s="6" t="s">
        <v>14</v>
      </c>
      <c r="B6" s="35" t="s">
        <v>15</v>
      </c>
      <c r="C6" s="6" t="s">
        <v>16</v>
      </c>
      <c r="D6" s="6" t="s">
        <v>17</v>
      </c>
      <c r="E6" s="6" t="s">
        <v>18</v>
      </c>
      <c r="F6" s="6" t="s">
        <v>19</v>
      </c>
    </row>
    <row r="7" ht="51" spans="1:6">
      <c r="A7" s="33" t="s">
        <v>20</v>
      </c>
      <c r="B7" s="34" t="s">
        <v>21</v>
      </c>
      <c r="C7" s="33" t="s">
        <v>22</v>
      </c>
      <c r="D7" s="33" t="s">
        <v>23</v>
      </c>
      <c r="E7" s="33" t="s">
        <v>24</v>
      </c>
      <c r="F7" s="33" t="s">
        <v>25</v>
      </c>
    </row>
    <row r="8" ht="34" spans="1:6">
      <c r="A8" s="6" t="s">
        <v>26</v>
      </c>
      <c r="B8" s="35" t="s">
        <v>27</v>
      </c>
      <c r="C8" s="6" t="s">
        <v>28</v>
      </c>
      <c r="D8" s="6" t="s">
        <v>29</v>
      </c>
      <c r="E8" s="6" t="s">
        <v>30</v>
      </c>
      <c r="F8" s="6" t="s">
        <v>31</v>
      </c>
    </row>
    <row r="9" ht="51" spans="1:6">
      <c r="A9" s="33" t="s">
        <v>32</v>
      </c>
      <c r="B9" s="34" t="s">
        <v>33</v>
      </c>
      <c r="C9" s="33" t="s">
        <v>34</v>
      </c>
      <c r="D9" s="33" t="s">
        <v>35</v>
      </c>
      <c r="E9" s="33" t="s">
        <v>36</v>
      </c>
      <c r="F9" s="33" t="s">
        <v>37</v>
      </c>
    </row>
    <row r="10" ht="51" spans="1:6">
      <c r="A10" s="6" t="s">
        <v>38</v>
      </c>
      <c r="B10" s="35" t="s">
        <v>39</v>
      </c>
      <c r="C10" s="6" t="s">
        <v>40</v>
      </c>
      <c r="D10" s="6" t="s">
        <v>41</v>
      </c>
      <c r="E10" s="6" t="s">
        <v>42</v>
      </c>
      <c r="F10" s="6" t="s">
        <v>43</v>
      </c>
    </row>
    <row r="11" ht="34" spans="1:6">
      <c r="A11" s="33" t="s">
        <v>44</v>
      </c>
      <c r="B11" s="34" t="s">
        <v>45</v>
      </c>
      <c r="C11" s="33" t="s">
        <v>40</v>
      </c>
      <c r="D11" s="33" t="s">
        <v>46</v>
      </c>
      <c r="E11" s="33" t="s">
        <v>47</v>
      </c>
      <c r="F11" s="33" t="s">
        <v>48</v>
      </c>
    </row>
    <row r="12" ht="51" spans="1:6">
      <c r="A12" s="6" t="s">
        <v>49</v>
      </c>
      <c r="B12" s="35" t="s">
        <v>45</v>
      </c>
      <c r="C12" s="6" t="s">
        <v>50</v>
      </c>
      <c r="D12" s="6" t="s">
        <v>51</v>
      </c>
      <c r="E12" s="6" t="s">
        <v>52</v>
      </c>
      <c r="F12" s="6" t="s">
        <v>53</v>
      </c>
    </row>
    <row r="13" ht="51" spans="1:6">
      <c r="A13" s="33" t="s">
        <v>54</v>
      </c>
      <c r="B13" s="34" t="s">
        <v>45</v>
      </c>
      <c r="C13" s="33" t="s">
        <v>40</v>
      </c>
      <c r="D13" s="33" t="s">
        <v>55</v>
      </c>
      <c r="E13" s="33" t="s">
        <v>56</v>
      </c>
      <c r="F13" s="33" t="s">
        <v>57</v>
      </c>
    </row>
    <row r="14" ht="51" spans="1:6">
      <c r="A14" s="6" t="s">
        <v>58</v>
      </c>
      <c r="B14" s="35" t="s">
        <v>45</v>
      </c>
      <c r="C14" s="6" t="s">
        <v>50</v>
      </c>
      <c r="D14" s="6" t="s">
        <v>59</v>
      </c>
      <c r="E14" s="6" t="s">
        <v>60</v>
      </c>
      <c r="F14" s="6" t="s">
        <v>61</v>
      </c>
    </row>
    <row r="15" ht="51" spans="1:6">
      <c r="A15" s="33" t="s">
        <v>62</v>
      </c>
      <c r="B15" s="34" t="s">
        <v>63</v>
      </c>
      <c r="C15" s="33" t="s">
        <v>64</v>
      </c>
      <c r="D15" s="33" t="s">
        <v>65</v>
      </c>
      <c r="E15" s="33" t="s">
        <v>66</v>
      </c>
      <c r="F15" s="33" t="s">
        <v>67</v>
      </c>
    </row>
    <row r="16" ht="34" spans="1:6">
      <c r="A16" s="6" t="s">
        <v>68</v>
      </c>
      <c r="B16" s="35" t="s">
        <v>39</v>
      </c>
      <c r="C16" s="6" t="s">
        <v>69</v>
      </c>
      <c r="D16" s="6" t="s">
        <v>70</v>
      </c>
      <c r="E16" s="6" t="s">
        <v>71</v>
      </c>
      <c r="F16" s="6" t="s">
        <v>72</v>
      </c>
    </row>
    <row r="17" ht="51" spans="1:6">
      <c r="A17" s="33" t="s">
        <v>73</v>
      </c>
      <c r="B17" s="34" t="s">
        <v>74</v>
      </c>
      <c r="C17" s="33" t="s">
        <v>75</v>
      </c>
      <c r="D17" s="33" t="s">
        <v>76</v>
      </c>
      <c r="E17" s="33" t="s">
        <v>77</v>
      </c>
      <c r="F17" s="33" t="s">
        <v>78</v>
      </c>
    </row>
    <row r="18" ht="51" spans="1:6">
      <c r="A18" s="6" t="s">
        <v>79</v>
      </c>
      <c r="B18" s="35" t="s">
        <v>9</v>
      </c>
      <c r="C18" s="6" t="s">
        <v>10</v>
      </c>
      <c r="D18" s="6" t="s">
        <v>80</v>
      </c>
      <c r="E18" s="6" t="s">
        <v>81</v>
      </c>
      <c r="F18" s="6" t="s">
        <v>82</v>
      </c>
    </row>
    <row r="19" ht="34" spans="1:6">
      <c r="A19" s="33" t="s">
        <v>83</v>
      </c>
      <c r="B19" s="34" t="s">
        <v>84</v>
      </c>
      <c r="C19" s="33" t="s">
        <v>85</v>
      </c>
      <c r="D19" s="33" t="s">
        <v>86</v>
      </c>
      <c r="E19" s="33" t="s">
        <v>87</v>
      </c>
      <c r="F19" s="33" t="s">
        <v>88</v>
      </c>
    </row>
    <row r="20" ht="34" spans="1:6">
      <c r="A20" s="6" t="s">
        <v>89</v>
      </c>
      <c r="B20" s="35" t="s">
        <v>84</v>
      </c>
      <c r="C20" s="6" t="s">
        <v>85</v>
      </c>
      <c r="D20" s="6" t="s">
        <v>90</v>
      </c>
      <c r="E20" s="6" t="s">
        <v>91</v>
      </c>
      <c r="F20" s="6" t="s">
        <v>92</v>
      </c>
    </row>
    <row r="21" ht="34" spans="1:6">
      <c r="A21" s="33" t="s">
        <v>93</v>
      </c>
      <c r="B21" s="34" t="s">
        <v>9</v>
      </c>
      <c r="C21" s="33" t="s">
        <v>10</v>
      </c>
      <c r="D21" s="33" t="s">
        <v>94</v>
      </c>
      <c r="E21" s="33" t="s">
        <v>95</v>
      </c>
      <c r="F21" s="33" t="s">
        <v>96</v>
      </c>
    </row>
    <row r="22" ht="51" spans="1:6">
      <c r="A22" s="6" t="s">
        <v>97</v>
      </c>
      <c r="B22" s="35" t="s">
        <v>84</v>
      </c>
      <c r="C22" s="6" t="s">
        <v>85</v>
      </c>
      <c r="D22" s="6" t="s">
        <v>98</v>
      </c>
      <c r="E22" s="6" t="s">
        <v>99</v>
      </c>
      <c r="F22" s="6" t="s">
        <v>100</v>
      </c>
    </row>
    <row r="23" ht="34" spans="1:6">
      <c r="A23" s="33" t="s">
        <v>101</v>
      </c>
      <c r="B23" s="34" t="s">
        <v>9</v>
      </c>
      <c r="C23" s="33" t="s">
        <v>10</v>
      </c>
      <c r="D23" s="33" t="s">
        <v>102</v>
      </c>
      <c r="E23" s="33" t="s">
        <v>103</v>
      </c>
      <c r="F23" s="33" t="s">
        <v>104</v>
      </c>
    </row>
    <row r="24" ht="34" spans="1:6">
      <c r="A24" s="6" t="s">
        <v>105</v>
      </c>
      <c r="B24" s="35" t="s">
        <v>106</v>
      </c>
      <c r="C24" s="6" t="s">
        <v>107</v>
      </c>
      <c r="D24" s="6" t="s">
        <v>108</v>
      </c>
      <c r="E24" s="6" t="s">
        <v>109</v>
      </c>
      <c r="F24" s="6" t="s">
        <v>110</v>
      </c>
    </row>
    <row r="25" ht="51" spans="1:6">
      <c r="A25" s="33" t="s">
        <v>111</v>
      </c>
      <c r="B25" s="34" t="s">
        <v>33</v>
      </c>
      <c r="C25" s="33" t="s">
        <v>112</v>
      </c>
      <c r="D25" s="33" t="s">
        <v>113</v>
      </c>
      <c r="E25" s="33" t="s">
        <v>114</v>
      </c>
      <c r="F25" s="33" t="s">
        <v>115</v>
      </c>
    </row>
    <row r="26" ht="34" spans="1:6">
      <c r="A26" s="6" t="s">
        <v>116</v>
      </c>
      <c r="B26" s="35" t="s">
        <v>84</v>
      </c>
      <c r="C26" s="6" t="s">
        <v>85</v>
      </c>
      <c r="D26" s="6" t="s">
        <v>117</v>
      </c>
      <c r="E26" s="6" t="s">
        <v>118</v>
      </c>
      <c r="F26" s="6" t="s">
        <v>119</v>
      </c>
    </row>
    <row r="27" ht="34" spans="1:6">
      <c r="A27" s="33" t="s">
        <v>120</v>
      </c>
      <c r="B27" s="34" t="s">
        <v>74</v>
      </c>
      <c r="C27" s="33" t="s">
        <v>75</v>
      </c>
      <c r="D27" s="33" t="s">
        <v>121</v>
      </c>
      <c r="E27" s="33" t="s">
        <v>122</v>
      </c>
      <c r="F27" s="33" t="s">
        <v>123</v>
      </c>
    </row>
    <row r="28" ht="51" spans="1:6">
      <c r="A28" s="6" t="s">
        <v>124</v>
      </c>
      <c r="B28" s="35" t="s">
        <v>125</v>
      </c>
      <c r="C28" s="6" t="s">
        <v>126</v>
      </c>
      <c r="D28" s="6" t="s">
        <v>127</v>
      </c>
      <c r="E28" s="6" t="s">
        <v>128</v>
      </c>
      <c r="F28" s="6" t="s">
        <v>129</v>
      </c>
    </row>
    <row r="29" ht="34" spans="1:6">
      <c r="A29" s="33" t="s">
        <v>130</v>
      </c>
      <c r="B29" s="34" t="s">
        <v>74</v>
      </c>
      <c r="C29" s="33" t="s">
        <v>75</v>
      </c>
      <c r="D29" s="33" t="s">
        <v>131</v>
      </c>
      <c r="E29" s="33" t="s">
        <v>132</v>
      </c>
      <c r="F29" s="33" t="s">
        <v>133</v>
      </c>
    </row>
    <row r="30" ht="34" spans="1:6">
      <c r="A30" s="6" t="s">
        <v>134</v>
      </c>
      <c r="B30" s="35" t="s">
        <v>84</v>
      </c>
      <c r="C30" s="6" t="s">
        <v>85</v>
      </c>
      <c r="D30" s="6" t="s">
        <v>135</v>
      </c>
      <c r="E30" s="6" t="s">
        <v>136</v>
      </c>
      <c r="F30" s="6" t="s">
        <v>137</v>
      </c>
    </row>
    <row r="31" ht="34" spans="1:6">
      <c r="A31" s="33" t="s">
        <v>138</v>
      </c>
      <c r="B31" s="34" t="s">
        <v>9</v>
      </c>
      <c r="C31" s="33" t="s">
        <v>10</v>
      </c>
      <c r="D31" s="33" t="s">
        <v>139</v>
      </c>
      <c r="E31" s="33" t="s">
        <v>140</v>
      </c>
      <c r="F31" s="33" t="s">
        <v>141</v>
      </c>
    </row>
    <row r="32" ht="34" spans="1:6">
      <c r="A32" s="6" t="s">
        <v>142</v>
      </c>
      <c r="B32" s="35" t="s">
        <v>21</v>
      </c>
      <c r="C32" s="6" t="s">
        <v>22</v>
      </c>
      <c r="D32" s="6" t="s">
        <v>143</v>
      </c>
      <c r="E32" s="6" t="s">
        <v>144</v>
      </c>
      <c r="F32" s="6" t="s">
        <v>145</v>
      </c>
    </row>
    <row r="33" ht="34" spans="1:6">
      <c r="A33" s="33" t="s">
        <v>146</v>
      </c>
      <c r="B33" s="34" t="s">
        <v>74</v>
      </c>
      <c r="C33" s="33" t="s">
        <v>75</v>
      </c>
      <c r="D33" s="33" t="s">
        <v>147</v>
      </c>
      <c r="E33" s="33" t="s">
        <v>148</v>
      </c>
      <c r="F33" s="33" t="s">
        <v>149</v>
      </c>
    </row>
    <row r="34" ht="51" spans="1:6">
      <c r="A34" s="6" t="s">
        <v>150</v>
      </c>
      <c r="B34" s="35" t="s">
        <v>106</v>
      </c>
      <c r="C34" s="6" t="s">
        <v>151</v>
      </c>
      <c r="D34" s="6" t="s">
        <v>152</v>
      </c>
      <c r="E34" s="6" t="s">
        <v>153</v>
      </c>
      <c r="F34" s="6" t="s">
        <v>154</v>
      </c>
    </row>
    <row r="35" ht="34" spans="1:6">
      <c r="A35" s="33" t="s">
        <v>155</v>
      </c>
      <c r="B35" s="34" t="s">
        <v>84</v>
      </c>
      <c r="C35" s="33" t="s">
        <v>85</v>
      </c>
      <c r="D35" s="33" t="s">
        <v>156</v>
      </c>
      <c r="E35" s="33" t="s">
        <v>157</v>
      </c>
      <c r="F35" s="33" t="s">
        <v>158</v>
      </c>
    </row>
    <row r="36" ht="34" spans="1:6">
      <c r="A36" s="6" t="s">
        <v>159</v>
      </c>
      <c r="B36" s="35" t="s">
        <v>106</v>
      </c>
      <c r="C36" s="6" t="s">
        <v>160</v>
      </c>
      <c r="D36" s="6" t="s">
        <v>161</v>
      </c>
      <c r="E36" s="6" t="s">
        <v>162</v>
      </c>
      <c r="F36" s="6" t="s">
        <v>163</v>
      </c>
    </row>
    <row r="37" ht="34" spans="1:6">
      <c r="A37" s="33" t="s">
        <v>164</v>
      </c>
      <c r="B37" s="34" t="s">
        <v>21</v>
      </c>
      <c r="C37" s="33" t="s">
        <v>22</v>
      </c>
      <c r="D37" s="33" t="s">
        <v>165</v>
      </c>
      <c r="E37" s="33" t="s">
        <v>166</v>
      </c>
      <c r="F37" s="33" t="s">
        <v>167</v>
      </c>
    </row>
    <row r="38" ht="34" spans="1:6">
      <c r="A38" s="6" t="s">
        <v>168</v>
      </c>
      <c r="B38" s="35" t="s">
        <v>125</v>
      </c>
      <c r="C38" s="6" t="s">
        <v>126</v>
      </c>
      <c r="D38" s="6" t="s">
        <v>169</v>
      </c>
      <c r="E38" s="6" t="s">
        <v>170</v>
      </c>
      <c r="F38" s="6" t="s">
        <v>171</v>
      </c>
    </row>
    <row r="39" ht="34" spans="1:6">
      <c r="A39" s="33" t="s">
        <v>172</v>
      </c>
      <c r="B39" s="34" t="s">
        <v>9</v>
      </c>
      <c r="C39" s="33" t="s">
        <v>10</v>
      </c>
      <c r="D39" s="33" t="s">
        <v>173</v>
      </c>
      <c r="E39" s="33" t="s">
        <v>174</v>
      </c>
      <c r="F39" s="33" t="s">
        <v>175</v>
      </c>
    </row>
    <row r="40" ht="51" spans="1:6">
      <c r="A40" s="6" t="s">
        <v>176</v>
      </c>
      <c r="B40" s="35" t="s">
        <v>84</v>
      </c>
      <c r="C40" s="6" t="s">
        <v>85</v>
      </c>
      <c r="D40" s="6" t="s">
        <v>177</v>
      </c>
      <c r="E40" s="6" t="s">
        <v>178</v>
      </c>
      <c r="F40" s="6" t="s">
        <v>179</v>
      </c>
    </row>
    <row r="41" ht="51" spans="1:6">
      <c r="A41" s="33" t="s">
        <v>180</v>
      </c>
      <c r="B41" s="34" t="s">
        <v>106</v>
      </c>
      <c r="C41" s="33" t="s">
        <v>107</v>
      </c>
      <c r="D41" s="33" t="s">
        <v>181</v>
      </c>
      <c r="E41" s="33" t="s">
        <v>182</v>
      </c>
      <c r="F41" s="33" t="s">
        <v>183</v>
      </c>
    </row>
    <row r="42" ht="34" spans="1:6">
      <c r="A42" s="6" t="s">
        <v>184</v>
      </c>
      <c r="B42" s="35" t="s">
        <v>39</v>
      </c>
      <c r="C42" s="6" t="s">
        <v>69</v>
      </c>
      <c r="D42" s="6" t="s">
        <v>185</v>
      </c>
      <c r="E42" s="6" t="s">
        <v>186</v>
      </c>
      <c r="F42" s="6" t="s">
        <v>187</v>
      </c>
    </row>
    <row r="43" ht="34" spans="1:6">
      <c r="A43" s="33" t="s">
        <v>188</v>
      </c>
      <c r="B43" s="34" t="s">
        <v>45</v>
      </c>
      <c r="C43" s="33" t="s">
        <v>50</v>
      </c>
      <c r="D43" s="33" t="s">
        <v>189</v>
      </c>
      <c r="E43" s="33" t="s">
        <v>190</v>
      </c>
      <c r="F43" s="33" t="s">
        <v>191</v>
      </c>
    </row>
    <row r="44" ht="34" spans="1:6">
      <c r="A44" s="6" t="s">
        <v>192</v>
      </c>
      <c r="B44" s="35" t="s">
        <v>39</v>
      </c>
      <c r="C44" s="6" t="s">
        <v>69</v>
      </c>
      <c r="D44" s="6" t="s">
        <v>193</v>
      </c>
      <c r="E44" s="6" t="s">
        <v>194</v>
      </c>
      <c r="F44" s="6" t="s">
        <v>195</v>
      </c>
    </row>
    <row r="45" ht="34" spans="1:6">
      <c r="A45" s="33" t="s">
        <v>196</v>
      </c>
      <c r="B45" s="34" t="s">
        <v>27</v>
      </c>
      <c r="C45" s="33" t="s">
        <v>28</v>
      </c>
      <c r="D45" s="33" t="s">
        <v>197</v>
      </c>
      <c r="E45" s="33" t="s">
        <v>198</v>
      </c>
      <c r="F45" s="33" t="s">
        <v>199</v>
      </c>
    </row>
    <row r="46" ht="51" spans="1:6">
      <c r="A46" s="6" t="s">
        <v>200</v>
      </c>
      <c r="B46" s="35" t="s">
        <v>45</v>
      </c>
      <c r="C46" s="6" t="s">
        <v>50</v>
      </c>
      <c r="D46" s="6" t="s">
        <v>201</v>
      </c>
      <c r="E46" s="6" t="s">
        <v>202</v>
      </c>
      <c r="F46" s="6" t="s">
        <v>203</v>
      </c>
    </row>
    <row r="47" ht="51" spans="1:6">
      <c r="A47" s="33" t="s">
        <v>204</v>
      </c>
      <c r="B47" s="34" t="s">
        <v>39</v>
      </c>
      <c r="C47" s="33" t="s">
        <v>69</v>
      </c>
      <c r="D47" s="33" t="s">
        <v>205</v>
      </c>
      <c r="E47" s="33" t="s">
        <v>206</v>
      </c>
      <c r="F47" s="33" t="s">
        <v>207</v>
      </c>
    </row>
    <row r="48" ht="51" spans="1:6">
      <c r="A48" s="6" t="s">
        <v>208</v>
      </c>
      <c r="B48" s="35" t="s">
        <v>106</v>
      </c>
      <c r="C48" s="6" t="s">
        <v>107</v>
      </c>
      <c r="D48" s="6" t="s">
        <v>209</v>
      </c>
      <c r="E48" s="6" t="s">
        <v>210</v>
      </c>
      <c r="F48" s="6" t="s">
        <v>211</v>
      </c>
    </row>
    <row r="49" ht="34" spans="1:6">
      <c r="A49" s="33" t="s">
        <v>212</v>
      </c>
      <c r="B49" s="34" t="s">
        <v>84</v>
      </c>
      <c r="C49" s="33" t="s">
        <v>85</v>
      </c>
      <c r="D49" s="33" t="s">
        <v>213</v>
      </c>
      <c r="E49" s="33" t="s">
        <v>214</v>
      </c>
      <c r="F49" s="33" t="s">
        <v>215</v>
      </c>
    </row>
    <row r="50" ht="34" spans="1:6">
      <c r="A50" s="6" t="s">
        <v>216</v>
      </c>
      <c r="B50" s="35" t="s">
        <v>106</v>
      </c>
      <c r="C50" s="6" t="s">
        <v>107</v>
      </c>
      <c r="D50" s="6" t="s">
        <v>217</v>
      </c>
      <c r="E50" s="6" t="s">
        <v>218</v>
      </c>
      <c r="F50" s="6" t="s">
        <v>219</v>
      </c>
    </row>
    <row r="51" ht="51" spans="1:6">
      <c r="A51" s="33" t="s">
        <v>220</v>
      </c>
      <c r="B51" s="34" t="s">
        <v>33</v>
      </c>
      <c r="C51" s="33" t="s">
        <v>112</v>
      </c>
      <c r="D51" s="33" t="s">
        <v>221</v>
      </c>
      <c r="E51" s="33" t="s">
        <v>222</v>
      </c>
      <c r="F51" s="33" t="s">
        <v>223</v>
      </c>
    </row>
    <row r="52" ht="34" spans="1:6">
      <c r="A52" s="6" t="s">
        <v>224</v>
      </c>
      <c r="B52" s="35" t="s">
        <v>15</v>
      </c>
      <c r="C52" s="6" t="s">
        <v>16</v>
      </c>
      <c r="D52" s="6" t="s">
        <v>225</v>
      </c>
      <c r="E52" s="6" t="s">
        <v>226</v>
      </c>
      <c r="F52" s="6" t="s">
        <v>227</v>
      </c>
    </row>
    <row r="53" ht="34" spans="1:6">
      <c r="A53" s="33" t="s">
        <v>228</v>
      </c>
      <c r="B53" s="34" t="s">
        <v>74</v>
      </c>
      <c r="C53" s="33" t="s">
        <v>75</v>
      </c>
      <c r="D53" s="33" t="s">
        <v>229</v>
      </c>
      <c r="E53" s="33" t="s">
        <v>230</v>
      </c>
      <c r="F53" s="33" t="s">
        <v>231</v>
      </c>
    </row>
    <row r="54" ht="34" spans="1:6">
      <c r="A54" s="6" t="s">
        <v>232</v>
      </c>
      <c r="B54" s="35" t="s">
        <v>15</v>
      </c>
      <c r="C54" s="6" t="s">
        <v>16</v>
      </c>
      <c r="D54" s="6" t="s">
        <v>233</v>
      </c>
      <c r="E54" s="6" t="s">
        <v>234</v>
      </c>
      <c r="F54" s="6" t="s">
        <v>235</v>
      </c>
    </row>
    <row r="56" spans="1:1">
      <c r="A56" s="23" t="s">
        <v>236</v>
      </c>
    </row>
    <row r="57" spans="1:1">
      <c r="A57" s="24" t="s">
        <v>237</v>
      </c>
    </row>
    <row r="58" spans="1:1">
      <c r="A58" s="24" t="s">
        <v>238</v>
      </c>
    </row>
    <row r="59" spans="1:1">
      <c r="A59" s="24" t="s">
        <v>239</v>
      </c>
    </row>
    <row r="60" spans="1:1">
      <c r="A60" s="24" t="s">
        <v>240</v>
      </c>
    </row>
    <row r="61" spans="1:1">
      <c r="A61" s="24" t="s">
        <v>241</v>
      </c>
    </row>
    <row r="62" spans="1:1">
      <c r="A62" s="24" t="s">
        <v>242</v>
      </c>
    </row>
  </sheetData>
  <mergeCells count="9">
    <mergeCell ref="A1:F1"/>
    <mergeCell ref="A2:F2"/>
    <mergeCell ref="A56:F56"/>
    <mergeCell ref="A57:F57"/>
    <mergeCell ref="A58:F58"/>
    <mergeCell ref="A59:F59"/>
    <mergeCell ref="A60:F60"/>
    <mergeCell ref="A61:F61"/>
    <mergeCell ref="A62:F6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4"/>
  <sheetViews>
    <sheetView workbookViewId="0">
      <selection activeCell="B5" sqref="B5"/>
    </sheetView>
  </sheetViews>
  <sheetFormatPr defaultColWidth="8.8359375" defaultRowHeight="16.8" outlineLevelCol="5"/>
  <cols>
    <col min="1" max="1" width="16" customWidth="1"/>
    <col min="2" max="2" width="18.8359375" customWidth="1"/>
    <col min="3" max="3" width="18" customWidth="1"/>
    <col min="4" max="4" width="30" customWidth="1"/>
    <col min="5" max="5" width="55" customWidth="1"/>
    <col min="6" max="6" width="45" customWidth="1"/>
  </cols>
  <sheetData>
    <row r="1" ht="19.2" spans="1:1">
      <c r="A1" s="1" t="s">
        <v>243</v>
      </c>
    </row>
    <row r="2" spans="1:1">
      <c r="A2" s="2" t="s">
        <v>244</v>
      </c>
    </row>
    <row r="4" spans="1:6">
      <c r="A4" s="3" t="s">
        <v>2</v>
      </c>
      <c r="B4" s="3" t="s">
        <v>245</v>
      </c>
      <c r="C4" s="3" t="s">
        <v>246</v>
      </c>
      <c r="D4" s="3" t="s">
        <v>5</v>
      </c>
      <c r="E4" s="3" t="s">
        <v>6</v>
      </c>
      <c r="F4" s="3" t="s">
        <v>247</v>
      </c>
    </row>
    <row r="5" ht="34" spans="1:6">
      <c r="A5" s="4" t="s">
        <v>8</v>
      </c>
      <c r="B5" s="29" t="s">
        <v>248</v>
      </c>
      <c r="C5" s="4" t="s">
        <v>249</v>
      </c>
      <c r="D5" s="4" t="s">
        <v>250</v>
      </c>
      <c r="E5" s="4" t="s">
        <v>251</v>
      </c>
      <c r="F5" s="4" t="s">
        <v>252</v>
      </c>
    </row>
    <row r="6" ht="34" spans="1:6">
      <c r="A6" s="6" t="s">
        <v>14</v>
      </c>
      <c r="B6" s="30" t="s">
        <v>253</v>
      </c>
      <c r="C6" s="6" t="s">
        <v>254</v>
      </c>
      <c r="D6" s="6" t="s">
        <v>17</v>
      </c>
      <c r="E6" s="6" t="s">
        <v>255</v>
      </c>
      <c r="F6" s="6" t="s">
        <v>256</v>
      </c>
    </row>
    <row r="7" ht="51" spans="1:6">
      <c r="A7" s="4" t="s">
        <v>20</v>
      </c>
      <c r="B7" s="29" t="s">
        <v>257</v>
      </c>
      <c r="C7" s="4" t="s">
        <v>258</v>
      </c>
      <c r="D7" s="4" t="s">
        <v>259</v>
      </c>
      <c r="E7" s="4" t="s">
        <v>260</v>
      </c>
      <c r="F7" s="4" t="s">
        <v>261</v>
      </c>
    </row>
    <row r="8" ht="34" spans="1:6">
      <c r="A8" s="6" t="s">
        <v>26</v>
      </c>
      <c r="B8" s="30" t="s">
        <v>262</v>
      </c>
      <c r="C8" s="6" t="s">
        <v>263</v>
      </c>
      <c r="D8" s="6" t="s">
        <v>29</v>
      </c>
      <c r="E8" s="6" t="s">
        <v>264</v>
      </c>
      <c r="F8" s="6" t="s">
        <v>265</v>
      </c>
    </row>
    <row r="9" ht="51" spans="1:6">
      <c r="A9" s="4" t="s">
        <v>32</v>
      </c>
      <c r="B9" s="29" t="s">
        <v>266</v>
      </c>
      <c r="C9" s="4" t="s">
        <v>267</v>
      </c>
      <c r="D9" s="4" t="s">
        <v>268</v>
      </c>
      <c r="E9" s="4" t="s">
        <v>269</v>
      </c>
      <c r="F9" s="4" t="s">
        <v>270</v>
      </c>
    </row>
    <row r="10" ht="51" spans="1:6">
      <c r="A10" s="6" t="s">
        <v>38</v>
      </c>
      <c r="B10" s="30" t="s">
        <v>271</v>
      </c>
      <c r="C10" s="6" t="s">
        <v>272</v>
      </c>
      <c r="D10" s="6" t="s">
        <v>273</v>
      </c>
      <c r="E10" s="6" t="s">
        <v>274</v>
      </c>
      <c r="F10" s="6" t="s">
        <v>275</v>
      </c>
    </row>
    <row r="11" ht="34" spans="1:6">
      <c r="A11" s="4" t="s">
        <v>44</v>
      </c>
      <c r="B11" s="29" t="s">
        <v>271</v>
      </c>
      <c r="C11" s="4" t="s">
        <v>272</v>
      </c>
      <c r="D11" s="4" t="s">
        <v>276</v>
      </c>
      <c r="E11" s="4" t="s">
        <v>277</v>
      </c>
      <c r="F11" s="4" t="s">
        <v>278</v>
      </c>
    </row>
    <row r="12" ht="34" spans="1:6">
      <c r="A12" s="6" t="s">
        <v>49</v>
      </c>
      <c r="B12" s="30" t="s">
        <v>279</v>
      </c>
      <c r="C12" s="6" t="s">
        <v>280</v>
      </c>
      <c r="D12" s="6" t="s">
        <v>281</v>
      </c>
      <c r="E12" s="6" t="s">
        <v>282</v>
      </c>
      <c r="F12" s="6" t="s">
        <v>283</v>
      </c>
    </row>
    <row r="13" ht="51" spans="1:6">
      <c r="A13" s="4" t="s">
        <v>54</v>
      </c>
      <c r="B13" s="29" t="s">
        <v>284</v>
      </c>
      <c r="C13" s="4" t="s">
        <v>285</v>
      </c>
      <c r="D13" s="4" t="s">
        <v>286</v>
      </c>
      <c r="E13" s="4" t="s">
        <v>287</v>
      </c>
      <c r="F13" s="4" t="s">
        <v>288</v>
      </c>
    </row>
    <row r="14" ht="34" spans="1:6">
      <c r="A14" s="6" t="s">
        <v>58</v>
      </c>
      <c r="B14" s="30" t="s">
        <v>279</v>
      </c>
      <c r="C14" s="6" t="s">
        <v>280</v>
      </c>
      <c r="D14" s="6" t="s">
        <v>289</v>
      </c>
      <c r="E14" s="6" t="s">
        <v>290</v>
      </c>
      <c r="F14" s="6" t="s">
        <v>291</v>
      </c>
    </row>
    <row r="15" ht="34" spans="1:6">
      <c r="A15" s="4" t="s">
        <v>62</v>
      </c>
      <c r="B15" s="29" t="s">
        <v>15</v>
      </c>
      <c r="C15" s="4" t="s">
        <v>292</v>
      </c>
      <c r="D15" s="4" t="s">
        <v>293</v>
      </c>
      <c r="E15" s="4" t="s">
        <v>294</v>
      </c>
      <c r="F15" s="4" t="s">
        <v>295</v>
      </c>
    </row>
    <row r="16" ht="34" spans="1:6">
      <c r="A16" s="6" t="s">
        <v>68</v>
      </c>
      <c r="B16" s="30" t="s">
        <v>296</v>
      </c>
      <c r="C16" s="6" t="s">
        <v>297</v>
      </c>
      <c r="D16" s="6" t="s">
        <v>298</v>
      </c>
      <c r="E16" s="6" t="s">
        <v>299</v>
      </c>
      <c r="F16" s="6" t="s">
        <v>300</v>
      </c>
    </row>
    <row r="17" ht="34" spans="1:6">
      <c r="A17" s="4" t="s">
        <v>73</v>
      </c>
      <c r="B17" s="29" t="s">
        <v>296</v>
      </c>
      <c r="C17" s="4" t="s">
        <v>301</v>
      </c>
      <c r="D17" s="4" t="s">
        <v>302</v>
      </c>
      <c r="E17" s="4" t="s">
        <v>303</v>
      </c>
      <c r="F17" s="4" t="s">
        <v>304</v>
      </c>
    </row>
    <row r="18" ht="34" spans="1:6">
      <c r="A18" s="6" t="s">
        <v>79</v>
      </c>
      <c r="B18" s="30" t="s">
        <v>305</v>
      </c>
      <c r="C18" s="6" t="s">
        <v>306</v>
      </c>
      <c r="D18" s="6" t="s">
        <v>307</v>
      </c>
      <c r="E18" s="6" t="s">
        <v>308</v>
      </c>
      <c r="F18" s="6" t="s">
        <v>309</v>
      </c>
    </row>
    <row r="19" ht="34" spans="1:6">
      <c r="A19" s="4" t="s">
        <v>83</v>
      </c>
      <c r="B19" s="29" t="s">
        <v>310</v>
      </c>
      <c r="C19" s="4" t="s">
        <v>311</v>
      </c>
      <c r="D19" s="4" t="s">
        <v>312</v>
      </c>
      <c r="E19" s="4" t="s">
        <v>313</v>
      </c>
      <c r="F19" s="4" t="s">
        <v>314</v>
      </c>
    </row>
    <row r="20" ht="34" spans="1:6">
      <c r="A20" s="6" t="s">
        <v>89</v>
      </c>
      <c r="B20" s="30" t="s">
        <v>310</v>
      </c>
      <c r="C20" s="6" t="s">
        <v>311</v>
      </c>
      <c r="D20" s="6" t="s">
        <v>315</v>
      </c>
      <c r="E20" s="6" t="s">
        <v>316</v>
      </c>
      <c r="F20" s="6" t="s">
        <v>317</v>
      </c>
    </row>
    <row r="21" ht="34" spans="1:6">
      <c r="A21" s="4" t="s">
        <v>93</v>
      </c>
      <c r="B21" s="29" t="s">
        <v>305</v>
      </c>
      <c r="C21" s="4" t="s">
        <v>306</v>
      </c>
      <c r="D21" s="4" t="s">
        <v>318</v>
      </c>
      <c r="E21" s="4" t="s">
        <v>319</v>
      </c>
      <c r="F21" s="4" t="s">
        <v>320</v>
      </c>
    </row>
    <row r="22" ht="51" spans="1:6">
      <c r="A22" s="6" t="s">
        <v>97</v>
      </c>
      <c r="B22" s="30" t="s">
        <v>248</v>
      </c>
      <c r="C22" s="6" t="s">
        <v>321</v>
      </c>
      <c r="D22" s="6" t="s">
        <v>322</v>
      </c>
      <c r="E22" s="6" t="s">
        <v>323</v>
      </c>
      <c r="F22" s="6" t="s">
        <v>324</v>
      </c>
    </row>
    <row r="23" ht="34" spans="1:6">
      <c r="A23" s="4" t="s">
        <v>101</v>
      </c>
      <c r="B23" s="29" t="s">
        <v>305</v>
      </c>
      <c r="C23" s="4" t="s">
        <v>306</v>
      </c>
      <c r="D23" s="4" t="s">
        <v>102</v>
      </c>
      <c r="E23" s="4" t="s">
        <v>325</v>
      </c>
      <c r="F23" s="4" t="s">
        <v>326</v>
      </c>
    </row>
    <row r="24" ht="34" spans="1:6">
      <c r="A24" s="6" t="s">
        <v>105</v>
      </c>
      <c r="B24" s="30" t="s">
        <v>284</v>
      </c>
      <c r="C24" s="6" t="s">
        <v>327</v>
      </c>
      <c r="D24" s="6" t="s">
        <v>328</v>
      </c>
      <c r="E24" s="6" t="s">
        <v>329</v>
      </c>
      <c r="F24" s="6" t="s">
        <v>330</v>
      </c>
    </row>
    <row r="25" ht="34" spans="1:6">
      <c r="A25" s="4" t="s">
        <v>111</v>
      </c>
      <c r="B25" s="29" t="s">
        <v>331</v>
      </c>
      <c r="C25" s="4" t="s">
        <v>332</v>
      </c>
      <c r="D25" s="4" t="s">
        <v>333</v>
      </c>
      <c r="E25" s="4" t="s">
        <v>334</v>
      </c>
      <c r="F25" s="4" t="s">
        <v>335</v>
      </c>
    </row>
    <row r="26" ht="34" spans="1:6">
      <c r="A26" s="6" t="s">
        <v>116</v>
      </c>
      <c r="B26" s="30" t="s">
        <v>248</v>
      </c>
      <c r="C26" s="6" t="s">
        <v>249</v>
      </c>
      <c r="D26" s="6" t="s">
        <v>336</v>
      </c>
      <c r="E26" s="6" t="s">
        <v>337</v>
      </c>
      <c r="F26" s="6" t="s">
        <v>338</v>
      </c>
    </row>
    <row r="27" ht="34" spans="1:6">
      <c r="A27" s="4" t="s">
        <v>120</v>
      </c>
      <c r="B27" s="29" t="s">
        <v>296</v>
      </c>
      <c r="C27" s="4" t="s">
        <v>297</v>
      </c>
      <c r="D27" s="4" t="s">
        <v>121</v>
      </c>
      <c r="E27" s="4" t="s">
        <v>339</v>
      </c>
      <c r="F27" s="4" t="s">
        <v>340</v>
      </c>
    </row>
    <row r="28" ht="34" spans="1:6">
      <c r="A28" s="6" t="s">
        <v>124</v>
      </c>
      <c r="B28" s="30" t="s">
        <v>341</v>
      </c>
      <c r="C28" s="6" t="s">
        <v>342</v>
      </c>
      <c r="D28" s="6" t="s">
        <v>343</v>
      </c>
      <c r="E28" s="6" t="s">
        <v>344</v>
      </c>
      <c r="F28" s="6" t="s">
        <v>345</v>
      </c>
    </row>
    <row r="29" ht="34" spans="1:6">
      <c r="A29" s="4" t="s">
        <v>130</v>
      </c>
      <c r="B29" s="29" t="s">
        <v>305</v>
      </c>
      <c r="C29" s="4" t="s">
        <v>306</v>
      </c>
      <c r="D29" s="4" t="s">
        <v>346</v>
      </c>
      <c r="E29" s="4" t="s">
        <v>347</v>
      </c>
      <c r="F29" s="4" t="s">
        <v>348</v>
      </c>
    </row>
    <row r="30" ht="34" spans="1:6">
      <c r="A30" s="6" t="s">
        <v>134</v>
      </c>
      <c r="B30" s="30" t="s">
        <v>248</v>
      </c>
      <c r="C30" s="6" t="s">
        <v>249</v>
      </c>
      <c r="D30" s="6" t="s">
        <v>349</v>
      </c>
      <c r="E30" s="6" t="s">
        <v>350</v>
      </c>
      <c r="F30" s="6" t="s">
        <v>351</v>
      </c>
    </row>
    <row r="31" ht="34" spans="1:6">
      <c r="A31" s="4" t="s">
        <v>138</v>
      </c>
      <c r="B31" s="29" t="s">
        <v>248</v>
      </c>
      <c r="C31" s="4" t="s">
        <v>249</v>
      </c>
      <c r="D31" s="4" t="s">
        <v>352</v>
      </c>
      <c r="E31" s="4" t="s">
        <v>353</v>
      </c>
      <c r="F31" s="4" t="s">
        <v>354</v>
      </c>
    </row>
    <row r="32" ht="51" spans="1:6">
      <c r="A32" s="6" t="s">
        <v>142</v>
      </c>
      <c r="B32" s="30" t="s">
        <v>257</v>
      </c>
      <c r="C32" s="6" t="s">
        <v>355</v>
      </c>
      <c r="D32" s="6" t="s">
        <v>356</v>
      </c>
      <c r="E32" s="6" t="s">
        <v>357</v>
      </c>
      <c r="F32" s="6" t="s">
        <v>358</v>
      </c>
    </row>
    <row r="33" ht="34" spans="1:6">
      <c r="A33" s="4" t="s">
        <v>146</v>
      </c>
      <c r="B33" s="29" t="s">
        <v>296</v>
      </c>
      <c r="C33" s="4" t="s">
        <v>297</v>
      </c>
      <c r="D33" s="4" t="s">
        <v>359</v>
      </c>
      <c r="E33" s="4" t="s">
        <v>360</v>
      </c>
      <c r="F33" s="4" t="s">
        <v>361</v>
      </c>
    </row>
    <row r="34" ht="34" spans="1:6">
      <c r="A34" s="6" t="s">
        <v>150</v>
      </c>
      <c r="B34" s="30" t="s">
        <v>284</v>
      </c>
      <c r="C34" s="6" t="s">
        <v>285</v>
      </c>
      <c r="D34" s="6" t="s">
        <v>152</v>
      </c>
      <c r="E34" s="6" t="s">
        <v>362</v>
      </c>
      <c r="F34" s="6" t="s">
        <v>363</v>
      </c>
    </row>
    <row r="35" ht="51" spans="1:6">
      <c r="A35" s="4" t="s">
        <v>155</v>
      </c>
      <c r="B35" s="29" t="s">
        <v>310</v>
      </c>
      <c r="C35" s="4" t="s">
        <v>311</v>
      </c>
      <c r="D35" s="4" t="s">
        <v>156</v>
      </c>
      <c r="E35" s="4" t="s">
        <v>364</v>
      </c>
      <c r="F35" s="4" t="s">
        <v>365</v>
      </c>
    </row>
    <row r="36" ht="51" spans="1:6">
      <c r="A36" s="6" t="s">
        <v>159</v>
      </c>
      <c r="B36" s="30" t="s">
        <v>266</v>
      </c>
      <c r="C36" s="6" t="s">
        <v>267</v>
      </c>
      <c r="D36" s="6" t="s">
        <v>366</v>
      </c>
      <c r="E36" s="6" t="s">
        <v>367</v>
      </c>
      <c r="F36" s="6" t="s">
        <v>368</v>
      </c>
    </row>
    <row r="37" ht="51" spans="1:6">
      <c r="A37" s="4" t="s">
        <v>164</v>
      </c>
      <c r="B37" s="29" t="s">
        <v>271</v>
      </c>
      <c r="C37" s="4" t="s">
        <v>272</v>
      </c>
      <c r="D37" s="4" t="s">
        <v>369</v>
      </c>
      <c r="E37" s="4" t="s">
        <v>370</v>
      </c>
      <c r="F37" s="4" t="s">
        <v>371</v>
      </c>
    </row>
    <row r="38" ht="34" spans="1:6">
      <c r="A38" s="6" t="s">
        <v>168</v>
      </c>
      <c r="B38" s="30" t="s">
        <v>341</v>
      </c>
      <c r="C38" s="6" t="s">
        <v>372</v>
      </c>
      <c r="D38" s="6" t="s">
        <v>373</v>
      </c>
      <c r="E38" s="6" t="s">
        <v>374</v>
      </c>
      <c r="F38" s="6" t="s">
        <v>375</v>
      </c>
    </row>
    <row r="39" ht="34" spans="1:6">
      <c r="A39" s="4" t="s">
        <v>172</v>
      </c>
      <c r="B39" s="29" t="s">
        <v>305</v>
      </c>
      <c r="C39" s="4" t="s">
        <v>306</v>
      </c>
      <c r="D39" s="4" t="s">
        <v>376</v>
      </c>
      <c r="E39" s="4" t="s">
        <v>377</v>
      </c>
      <c r="F39" s="4" t="s">
        <v>378</v>
      </c>
    </row>
    <row r="40" ht="34" spans="1:6">
      <c r="A40" s="6" t="s">
        <v>176</v>
      </c>
      <c r="B40" s="30" t="s">
        <v>248</v>
      </c>
      <c r="C40" s="6" t="s">
        <v>249</v>
      </c>
      <c r="D40" s="6" t="s">
        <v>379</v>
      </c>
      <c r="E40" s="6" t="s">
        <v>380</v>
      </c>
      <c r="F40" s="6" t="s">
        <v>381</v>
      </c>
    </row>
    <row r="41" ht="51" spans="1:6">
      <c r="A41" s="4" t="s">
        <v>180</v>
      </c>
      <c r="B41" s="29" t="s">
        <v>284</v>
      </c>
      <c r="C41" s="4" t="s">
        <v>285</v>
      </c>
      <c r="D41" s="4" t="s">
        <v>382</v>
      </c>
      <c r="E41" s="4" t="s">
        <v>383</v>
      </c>
      <c r="F41" s="4" t="s">
        <v>384</v>
      </c>
    </row>
    <row r="42" ht="34" spans="1:6">
      <c r="A42" s="6" t="s">
        <v>184</v>
      </c>
      <c r="B42" s="30" t="s">
        <v>279</v>
      </c>
      <c r="C42" s="6" t="s">
        <v>280</v>
      </c>
      <c r="D42" s="6" t="s">
        <v>385</v>
      </c>
      <c r="E42" s="6" t="s">
        <v>386</v>
      </c>
      <c r="F42" s="6" t="s">
        <v>387</v>
      </c>
    </row>
    <row r="43" ht="34" spans="1:6">
      <c r="A43" s="4" t="s">
        <v>188</v>
      </c>
      <c r="B43" s="29" t="s">
        <v>271</v>
      </c>
      <c r="C43" s="4" t="s">
        <v>272</v>
      </c>
      <c r="D43" s="4" t="s">
        <v>388</v>
      </c>
      <c r="E43" s="4" t="s">
        <v>389</v>
      </c>
      <c r="F43" s="4" t="s">
        <v>390</v>
      </c>
    </row>
    <row r="44" ht="34" spans="1:6">
      <c r="A44" s="6" t="s">
        <v>192</v>
      </c>
      <c r="B44" s="30" t="s">
        <v>279</v>
      </c>
      <c r="C44" s="6" t="s">
        <v>280</v>
      </c>
      <c r="D44" s="6" t="s">
        <v>193</v>
      </c>
      <c r="E44" s="6" t="s">
        <v>391</v>
      </c>
      <c r="F44" s="6" t="s">
        <v>392</v>
      </c>
    </row>
    <row r="45" ht="34" spans="1:6">
      <c r="A45" s="4" t="s">
        <v>196</v>
      </c>
      <c r="B45" s="29" t="s">
        <v>262</v>
      </c>
      <c r="C45" s="4" t="s">
        <v>263</v>
      </c>
      <c r="D45" s="4" t="s">
        <v>393</v>
      </c>
      <c r="E45" s="4" t="s">
        <v>394</v>
      </c>
      <c r="F45" s="4" t="s">
        <v>395</v>
      </c>
    </row>
    <row r="46" ht="51" spans="1:6">
      <c r="A46" s="6" t="s">
        <v>200</v>
      </c>
      <c r="B46" s="30" t="s">
        <v>271</v>
      </c>
      <c r="C46" s="6" t="s">
        <v>272</v>
      </c>
      <c r="D46" s="6" t="s">
        <v>201</v>
      </c>
      <c r="E46" s="6" t="s">
        <v>396</v>
      </c>
      <c r="F46" s="6" t="s">
        <v>397</v>
      </c>
    </row>
    <row r="47" ht="51" spans="1:6">
      <c r="A47" s="4" t="s">
        <v>204</v>
      </c>
      <c r="B47" s="29" t="s">
        <v>271</v>
      </c>
      <c r="C47" s="4" t="s">
        <v>272</v>
      </c>
      <c r="D47" s="4" t="s">
        <v>398</v>
      </c>
      <c r="E47" s="4" t="s">
        <v>399</v>
      </c>
      <c r="F47" s="4" t="s">
        <v>400</v>
      </c>
    </row>
    <row r="48" ht="51" spans="1:6">
      <c r="A48" s="6" t="s">
        <v>208</v>
      </c>
      <c r="B48" s="30" t="s">
        <v>257</v>
      </c>
      <c r="C48" s="6" t="s">
        <v>258</v>
      </c>
      <c r="D48" s="6" t="s">
        <v>401</v>
      </c>
      <c r="E48" s="6" t="s">
        <v>402</v>
      </c>
      <c r="F48" s="6" t="s">
        <v>403</v>
      </c>
    </row>
    <row r="49" ht="34" spans="1:6">
      <c r="A49" s="4" t="s">
        <v>212</v>
      </c>
      <c r="B49" s="29" t="s">
        <v>248</v>
      </c>
      <c r="C49" s="4" t="s">
        <v>249</v>
      </c>
      <c r="D49" s="4" t="s">
        <v>404</v>
      </c>
      <c r="E49" s="4" t="s">
        <v>405</v>
      </c>
      <c r="F49" s="4" t="s">
        <v>406</v>
      </c>
    </row>
    <row r="50" ht="51" spans="1:6">
      <c r="A50" s="6" t="s">
        <v>216</v>
      </c>
      <c r="B50" s="30" t="s">
        <v>257</v>
      </c>
      <c r="C50" s="6" t="s">
        <v>258</v>
      </c>
      <c r="D50" s="6" t="s">
        <v>407</v>
      </c>
      <c r="E50" s="6" t="s">
        <v>408</v>
      </c>
      <c r="F50" s="6" t="s">
        <v>409</v>
      </c>
    </row>
    <row r="51" ht="34" spans="1:6">
      <c r="A51" s="4" t="s">
        <v>220</v>
      </c>
      <c r="B51" s="29" t="s">
        <v>331</v>
      </c>
      <c r="C51" s="4" t="s">
        <v>410</v>
      </c>
      <c r="D51" s="4" t="s">
        <v>411</v>
      </c>
      <c r="E51" s="4" t="s">
        <v>412</v>
      </c>
      <c r="F51" s="4" t="s">
        <v>413</v>
      </c>
    </row>
    <row r="52" ht="51" spans="1:6">
      <c r="A52" s="6" t="s">
        <v>224</v>
      </c>
      <c r="B52" s="30" t="s">
        <v>253</v>
      </c>
      <c r="C52" s="6" t="s">
        <v>414</v>
      </c>
      <c r="D52" s="6" t="s">
        <v>415</v>
      </c>
      <c r="E52" s="6" t="s">
        <v>416</v>
      </c>
      <c r="F52" s="6" t="s">
        <v>417</v>
      </c>
    </row>
    <row r="53" ht="34" spans="1:6">
      <c r="A53" s="4" t="s">
        <v>228</v>
      </c>
      <c r="B53" s="29" t="s">
        <v>305</v>
      </c>
      <c r="C53" s="4" t="s">
        <v>306</v>
      </c>
      <c r="D53" s="4" t="s">
        <v>418</v>
      </c>
      <c r="E53" s="4" t="s">
        <v>419</v>
      </c>
      <c r="F53" s="4" t="s">
        <v>420</v>
      </c>
    </row>
    <row r="54" ht="51" spans="1:6">
      <c r="A54" s="6" t="s">
        <v>232</v>
      </c>
      <c r="B54" s="30" t="s">
        <v>341</v>
      </c>
      <c r="C54" s="6" t="s">
        <v>342</v>
      </c>
      <c r="D54" s="6" t="s">
        <v>421</v>
      </c>
      <c r="E54" s="6" t="s">
        <v>422</v>
      </c>
      <c r="F54" s="6" t="s">
        <v>423</v>
      </c>
    </row>
  </sheetData>
  <mergeCells count="2">
    <mergeCell ref="A1:F1"/>
    <mergeCell ref="A2:F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2"/>
  <sheetViews>
    <sheetView tabSelected="1" zoomScale="75" zoomScaleNormal="75" workbookViewId="0">
      <selection activeCell="H54" sqref="H54"/>
    </sheetView>
  </sheetViews>
  <sheetFormatPr defaultColWidth="8.8359375" defaultRowHeight="16.8" outlineLevelCol="7"/>
  <cols>
    <col min="1" max="1" width="7" customWidth="1"/>
    <col min="2" max="2" width="16" customWidth="1"/>
    <col min="3" max="3" width="15" customWidth="1"/>
    <col min="4" max="5" width="14" customWidth="1"/>
    <col min="6" max="6" width="11" customWidth="1"/>
    <col min="7" max="7" width="29.3359375" customWidth="1"/>
    <col min="8" max="8" width="65.3359375" customWidth="1"/>
  </cols>
  <sheetData>
    <row r="1" ht="19.2" spans="1:1">
      <c r="A1" s="1" t="s">
        <v>424</v>
      </c>
    </row>
    <row r="2" spans="1:1">
      <c r="A2" s="2" t="s">
        <v>425</v>
      </c>
    </row>
    <row r="4" spans="1:8">
      <c r="A4" s="16" t="s">
        <v>426</v>
      </c>
      <c r="B4" s="16" t="s">
        <v>2</v>
      </c>
      <c r="C4" s="16" t="s">
        <v>427</v>
      </c>
      <c r="D4" s="16" t="s">
        <v>428</v>
      </c>
      <c r="E4" s="16" t="s">
        <v>429</v>
      </c>
      <c r="F4" s="16" t="s">
        <v>430</v>
      </c>
      <c r="G4" s="16" t="s">
        <v>431</v>
      </c>
      <c r="H4" s="16" t="s">
        <v>432</v>
      </c>
    </row>
    <row r="5" ht="34" spans="1:8">
      <c r="A5" s="17">
        <v>1</v>
      </c>
      <c r="B5" s="18" t="s">
        <v>14</v>
      </c>
      <c r="C5" s="19">
        <v>0.125</v>
      </c>
      <c r="D5" s="19">
        <v>0.08</v>
      </c>
      <c r="E5" s="25">
        <v>450</v>
      </c>
      <c r="F5" s="17">
        <f>4.5%</f>
        <v>0.045</v>
      </c>
      <c r="G5" s="26" t="s">
        <v>14</v>
      </c>
      <c r="H5" s="26" t="s">
        <v>433</v>
      </c>
    </row>
    <row r="6" ht="34" spans="1:8">
      <c r="A6" s="20">
        <v>2</v>
      </c>
      <c r="B6" s="21" t="s">
        <v>224</v>
      </c>
      <c r="C6" s="22">
        <v>0.125</v>
      </c>
      <c r="D6" s="22">
        <v>0.08</v>
      </c>
      <c r="E6" s="25">
        <v>450</v>
      </c>
      <c r="F6" s="20">
        <f>4.5%</f>
        <v>0.045</v>
      </c>
      <c r="G6" s="6" t="s">
        <v>224</v>
      </c>
      <c r="H6" s="6" t="s">
        <v>434</v>
      </c>
    </row>
    <row r="7" ht="34" spans="1:8">
      <c r="A7" s="17">
        <v>3</v>
      </c>
      <c r="B7" s="18" t="s">
        <v>124</v>
      </c>
      <c r="C7" s="19">
        <v>0.12</v>
      </c>
      <c r="D7" s="19">
        <v>0.0775</v>
      </c>
      <c r="E7" s="25">
        <v>425</v>
      </c>
      <c r="F7" s="17">
        <f>4.25%</f>
        <v>0.0425</v>
      </c>
      <c r="G7" s="26" t="s">
        <v>124</v>
      </c>
      <c r="H7" s="26" t="s">
        <v>435</v>
      </c>
    </row>
    <row r="8" ht="34" spans="1:8">
      <c r="A8" s="20">
        <v>4</v>
      </c>
      <c r="B8" s="21" t="s">
        <v>168</v>
      </c>
      <c r="C8" s="22">
        <v>0.12</v>
      </c>
      <c r="D8" s="22">
        <v>0.0775</v>
      </c>
      <c r="E8" s="25">
        <v>425</v>
      </c>
      <c r="F8" s="20">
        <f>4.25%</f>
        <v>0.0425</v>
      </c>
      <c r="G8" s="6" t="s">
        <v>168</v>
      </c>
      <c r="H8" s="6" t="s">
        <v>436</v>
      </c>
    </row>
    <row r="9" ht="34" spans="1:8">
      <c r="A9" s="17">
        <v>5</v>
      </c>
      <c r="B9" s="18" t="s">
        <v>8</v>
      </c>
      <c r="C9" s="19">
        <v>0.11</v>
      </c>
      <c r="D9" s="19">
        <v>0.07</v>
      </c>
      <c r="E9" s="25">
        <v>400</v>
      </c>
      <c r="F9" s="17">
        <f t="shared" ref="F9:F24" si="0">4%</f>
        <v>0.04</v>
      </c>
      <c r="G9" s="26" t="s">
        <v>8</v>
      </c>
      <c r="H9" s="26" t="s">
        <v>437</v>
      </c>
    </row>
    <row r="10" ht="34" spans="1:8">
      <c r="A10" s="20">
        <v>6</v>
      </c>
      <c r="B10" s="21" t="s">
        <v>26</v>
      </c>
      <c r="C10" s="22">
        <v>0.115</v>
      </c>
      <c r="D10" s="22">
        <v>0.075</v>
      </c>
      <c r="E10" s="25">
        <v>400</v>
      </c>
      <c r="F10" s="20">
        <f t="shared" si="0"/>
        <v>0.04</v>
      </c>
      <c r="G10" s="6" t="s">
        <v>26</v>
      </c>
      <c r="H10" s="6" t="s">
        <v>438</v>
      </c>
    </row>
    <row r="11" ht="17.6" spans="1:8">
      <c r="A11" s="17">
        <v>7</v>
      </c>
      <c r="B11" s="18" t="s">
        <v>49</v>
      </c>
      <c r="C11" s="19">
        <v>0.1025</v>
      </c>
      <c r="D11" s="19">
        <v>0.0625</v>
      </c>
      <c r="E11" s="25">
        <v>400</v>
      </c>
      <c r="F11" s="17">
        <f t="shared" si="0"/>
        <v>0.04</v>
      </c>
      <c r="G11" s="26" t="s">
        <v>49</v>
      </c>
      <c r="H11" s="26" t="s">
        <v>439</v>
      </c>
    </row>
    <row r="12" ht="34" spans="1:8">
      <c r="A12" s="20">
        <v>8</v>
      </c>
      <c r="B12" s="21" t="s">
        <v>58</v>
      </c>
      <c r="C12" s="22">
        <v>0.1025</v>
      </c>
      <c r="D12" s="22">
        <v>0.0625</v>
      </c>
      <c r="E12" s="25">
        <v>400</v>
      </c>
      <c r="F12" s="20">
        <f t="shared" si="0"/>
        <v>0.04</v>
      </c>
      <c r="G12" s="6" t="s">
        <v>440</v>
      </c>
      <c r="H12" s="6" t="s">
        <v>441</v>
      </c>
    </row>
    <row r="13" ht="17.6" spans="1:8">
      <c r="A13" s="17">
        <v>9</v>
      </c>
      <c r="B13" s="18" t="s">
        <v>68</v>
      </c>
      <c r="C13" s="19">
        <v>0.105</v>
      </c>
      <c r="D13" s="19">
        <v>0.065</v>
      </c>
      <c r="E13" s="25">
        <v>400</v>
      </c>
      <c r="F13" s="17">
        <f t="shared" si="0"/>
        <v>0.04</v>
      </c>
      <c r="G13" s="26" t="s">
        <v>68</v>
      </c>
      <c r="H13" s="26" t="s">
        <v>442</v>
      </c>
    </row>
    <row r="14" ht="17.6" spans="1:8">
      <c r="A14" s="20">
        <v>10</v>
      </c>
      <c r="B14" s="21" t="s">
        <v>83</v>
      </c>
      <c r="C14" s="22">
        <v>0.1125</v>
      </c>
      <c r="D14" s="22">
        <v>0.0725</v>
      </c>
      <c r="E14" s="25">
        <v>400</v>
      </c>
      <c r="F14" s="20">
        <f t="shared" si="0"/>
        <v>0.04</v>
      </c>
      <c r="G14" s="6" t="s">
        <v>83</v>
      </c>
      <c r="H14" s="6" t="s">
        <v>443</v>
      </c>
    </row>
    <row r="15" ht="17.6" spans="1:8">
      <c r="A15" s="17">
        <v>11</v>
      </c>
      <c r="B15" s="18" t="s">
        <v>89</v>
      </c>
      <c r="C15" s="19">
        <v>0.1125</v>
      </c>
      <c r="D15" s="19">
        <v>0.0725</v>
      </c>
      <c r="E15" s="25">
        <v>400</v>
      </c>
      <c r="F15" s="17">
        <f t="shared" si="0"/>
        <v>0.04</v>
      </c>
      <c r="G15" s="26" t="s">
        <v>89</v>
      </c>
      <c r="H15" s="26" t="s">
        <v>444</v>
      </c>
    </row>
    <row r="16" ht="17.6" spans="1:8">
      <c r="A16" s="20">
        <v>12</v>
      </c>
      <c r="B16" s="21" t="s">
        <v>130</v>
      </c>
      <c r="C16" s="22">
        <v>0.1075</v>
      </c>
      <c r="D16" s="22">
        <v>0.0675</v>
      </c>
      <c r="E16" s="25">
        <v>400</v>
      </c>
      <c r="F16" s="20">
        <f t="shared" si="0"/>
        <v>0.04</v>
      </c>
      <c r="G16" s="6" t="s">
        <v>130</v>
      </c>
      <c r="H16" s="6" t="s">
        <v>445</v>
      </c>
    </row>
    <row r="17" ht="17.6" spans="1:8">
      <c r="A17" s="17">
        <v>13</v>
      </c>
      <c r="B17" s="18" t="s">
        <v>138</v>
      </c>
      <c r="C17" s="19">
        <v>0.11</v>
      </c>
      <c r="D17" s="19">
        <v>0.07</v>
      </c>
      <c r="E17" s="25">
        <v>400</v>
      </c>
      <c r="F17" s="17">
        <f t="shared" si="0"/>
        <v>0.04</v>
      </c>
      <c r="G17" s="26" t="s">
        <v>138</v>
      </c>
      <c r="H17" s="26" t="s">
        <v>446</v>
      </c>
    </row>
    <row r="18" ht="17.6" spans="1:8">
      <c r="A18" s="20">
        <v>14</v>
      </c>
      <c r="B18" s="21" t="s">
        <v>155</v>
      </c>
      <c r="C18" s="22">
        <v>0.1125</v>
      </c>
      <c r="D18" s="22">
        <v>0.0725</v>
      </c>
      <c r="E18" s="25">
        <v>400</v>
      </c>
      <c r="F18" s="20">
        <f t="shared" si="0"/>
        <v>0.04</v>
      </c>
      <c r="G18" s="6" t="s">
        <v>155</v>
      </c>
      <c r="H18" s="6" t="s">
        <v>447</v>
      </c>
    </row>
    <row r="19" ht="34" spans="1:8">
      <c r="A19" s="17">
        <v>15</v>
      </c>
      <c r="B19" s="18" t="s">
        <v>164</v>
      </c>
      <c r="C19" s="19">
        <v>0.1</v>
      </c>
      <c r="D19" s="19">
        <v>0.06</v>
      </c>
      <c r="E19" s="25">
        <v>400</v>
      </c>
      <c r="F19" s="17">
        <f t="shared" si="0"/>
        <v>0.04</v>
      </c>
      <c r="G19" s="26" t="s">
        <v>448</v>
      </c>
      <c r="H19" s="26" t="s">
        <v>449</v>
      </c>
    </row>
    <row r="20" ht="17.6" spans="1:8">
      <c r="A20" s="20">
        <v>16</v>
      </c>
      <c r="B20" s="21" t="s">
        <v>196</v>
      </c>
      <c r="C20" s="22">
        <v>0.115</v>
      </c>
      <c r="D20" s="22">
        <v>0.075</v>
      </c>
      <c r="E20" s="25">
        <v>400</v>
      </c>
      <c r="F20" s="20">
        <f t="shared" si="0"/>
        <v>0.04</v>
      </c>
      <c r="G20" s="6" t="s">
        <v>196</v>
      </c>
      <c r="H20" s="6" t="s">
        <v>450</v>
      </c>
    </row>
    <row r="21" ht="34" spans="1:8">
      <c r="A21" s="17">
        <v>17</v>
      </c>
      <c r="B21" s="18" t="s">
        <v>208</v>
      </c>
      <c r="C21" s="19">
        <v>0.0975</v>
      </c>
      <c r="D21" s="19">
        <v>0.0575</v>
      </c>
      <c r="E21" s="25">
        <v>400</v>
      </c>
      <c r="F21" s="17">
        <f t="shared" si="0"/>
        <v>0.04</v>
      </c>
      <c r="G21" s="26" t="s">
        <v>451</v>
      </c>
      <c r="H21" s="26" t="s">
        <v>452</v>
      </c>
    </row>
    <row r="22" ht="34" spans="1:8">
      <c r="A22" s="20">
        <v>18</v>
      </c>
      <c r="B22" s="21" t="s">
        <v>216</v>
      </c>
      <c r="C22" s="22">
        <v>0.0975</v>
      </c>
      <c r="D22" s="22">
        <v>0.0575</v>
      </c>
      <c r="E22" s="25">
        <v>400</v>
      </c>
      <c r="F22" s="20">
        <f t="shared" si="0"/>
        <v>0.04</v>
      </c>
      <c r="G22" s="6" t="s">
        <v>453</v>
      </c>
      <c r="H22" s="6" t="s">
        <v>454</v>
      </c>
    </row>
    <row r="23" ht="17.6" spans="1:8">
      <c r="A23" s="17">
        <v>19</v>
      </c>
      <c r="B23" s="18" t="s">
        <v>228</v>
      </c>
      <c r="C23" s="19">
        <v>0.1075</v>
      </c>
      <c r="D23" s="19">
        <v>0.0675</v>
      </c>
      <c r="E23" s="25">
        <v>400</v>
      </c>
      <c r="F23" s="17">
        <f t="shared" si="0"/>
        <v>0.04</v>
      </c>
      <c r="G23" s="26" t="s">
        <v>228</v>
      </c>
      <c r="H23" s="26" t="s">
        <v>455</v>
      </c>
    </row>
    <row r="24" ht="17.6" spans="1:8">
      <c r="A24" s="20">
        <v>20</v>
      </c>
      <c r="B24" s="21" t="s">
        <v>232</v>
      </c>
      <c r="C24" s="22">
        <v>0.12</v>
      </c>
      <c r="D24" s="22">
        <v>0.08</v>
      </c>
      <c r="E24" s="25">
        <v>400</v>
      </c>
      <c r="F24" s="20">
        <f t="shared" si="0"/>
        <v>0.04</v>
      </c>
      <c r="G24" s="6" t="s">
        <v>232</v>
      </c>
      <c r="H24" s="6" t="s">
        <v>456</v>
      </c>
    </row>
    <row r="25" ht="34" spans="1:8">
      <c r="A25" s="17">
        <v>21</v>
      </c>
      <c r="B25" s="18" t="s">
        <v>20</v>
      </c>
      <c r="C25" s="19">
        <v>0.0975</v>
      </c>
      <c r="D25" s="19">
        <v>0.06</v>
      </c>
      <c r="E25" s="25">
        <v>375</v>
      </c>
      <c r="F25" s="17">
        <f t="shared" ref="F25:F48" si="1">3.75%</f>
        <v>0.0375</v>
      </c>
      <c r="G25" s="26" t="s">
        <v>457</v>
      </c>
      <c r="H25" s="26" t="s">
        <v>458</v>
      </c>
    </row>
    <row r="26" ht="17.6" spans="1:8">
      <c r="A26" s="20">
        <v>22</v>
      </c>
      <c r="B26" s="21" t="s">
        <v>44</v>
      </c>
      <c r="C26" s="22">
        <v>0.1</v>
      </c>
      <c r="D26" s="22">
        <v>0.0625</v>
      </c>
      <c r="E26" s="25">
        <v>375</v>
      </c>
      <c r="F26" s="20">
        <f t="shared" si="1"/>
        <v>0.0375</v>
      </c>
      <c r="G26" s="6" t="s">
        <v>44</v>
      </c>
      <c r="H26" s="6" t="s">
        <v>459</v>
      </c>
    </row>
    <row r="27" ht="34" spans="1:8">
      <c r="A27" s="17">
        <v>23</v>
      </c>
      <c r="B27" s="18" t="s">
        <v>73</v>
      </c>
      <c r="C27" s="19">
        <v>0.105</v>
      </c>
      <c r="D27" s="19">
        <v>0.0675</v>
      </c>
      <c r="E27" s="25">
        <v>375</v>
      </c>
      <c r="F27" s="17">
        <f t="shared" si="1"/>
        <v>0.0375</v>
      </c>
      <c r="G27" s="26" t="s">
        <v>460</v>
      </c>
      <c r="H27" s="26" t="s">
        <v>461</v>
      </c>
    </row>
    <row r="28" ht="34" spans="1:8">
      <c r="A28" s="20">
        <v>24</v>
      </c>
      <c r="B28" s="21" t="s">
        <v>79</v>
      </c>
      <c r="C28" s="22">
        <v>0.1075</v>
      </c>
      <c r="D28" s="22">
        <v>0.07</v>
      </c>
      <c r="E28" s="25">
        <v>375</v>
      </c>
      <c r="F28" s="20">
        <f t="shared" si="1"/>
        <v>0.0375</v>
      </c>
      <c r="G28" s="6" t="s">
        <v>462</v>
      </c>
      <c r="H28" s="6" t="s">
        <v>463</v>
      </c>
    </row>
    <row r="29" ht="17.6" spans="1:8">
      <c r="A29" s="17">
        <v>25</v>
      </c>
      <c r="B29" s="18" t="s">
        <v>93</v>
      </c>
      <c r="C29" s="19">
        <v>0.1075</v>
      </c>
      <c r="D29" s="19">
        <v>0.07</v>
      </c>
      <c r="E29" s="25">
        <v>375</v>
      </c>
      <c r="F29" s="17">
        <f t="shared" si="1"/>
        <v>0.0375</v>
      </c>
      <c r="G29" s="26" t="s">
        <v>93</v>
      </c>
      <c r="H29" s="26" t="s">
        <v>464</v>
      </c>
    </row>
    <row r="30" ht="34" spans="1:8">
      <c r="A30" s="20">
        <v>26</v>
      </c>
      <c r="B30" s="21" t="s">
        <v>97</v>
      </c>
      <c r="C30" s="22">
        <v>0.11</v>
      </c>
      <c r="D30" s="22">
        <v>0.0725</v>
      </c>
      <c r="E30" s="25">
        <v>375</v>
      </c>
      <c r="F30" s="20">
        <f t="shared" si="1"/>
        <v>0.0375</v>
      </c>
      <c r="G30" s="6" t="s">
        <v>465</v>
      </c>
      <c r="H30" s="6" t="s">
        <v>466</v>
      </c>
    </row>
    <row r="31" ht="17.6" spans="1:8">
      <c r="A31" s="17">
        <v>27</v>
      </c>
      <c r="B31" s="18" t="s">
        <v>101</v>
      </c>
      <c r="C31" s="19">
        <v>0.1075</v>
      </c>
      <c r="D31" s="19">
        <v>0.07</v>
      </c>
      <c r="E31" s="25">
        <v>375</v>
      </c>
      <c r="F31" s="17">
        <f t="shared" si="1"/>
        <v>0.0375</v>
      </c>
      <c r="G31" s="26" t="s">
        <v>101</v>
      </c>
      <c r="H31" s="26" t="s">
        <v>467</v>
      </c>
    </row>
    <row r="32" ht="34" spans="1:8">
      <c r="A32" s="20">
        <v>28</v>
      </c>
      <c r="B32" s="21" t="s">
        <v>105</v>
      </c>
      <c r="C32" s="22">
        <v>0.095</v>
      </c>
      <c r="D32" s="22">
        <v>0.0575</v>
      </c>
      <c r="E32" s="25">
        <v>375</v>
      </c>
      <c r="F32" s="20">
        <f t="shared" si="1"/>
        <v>0.0375</v>
      </c>
      <c r="G32" s="6" t="s">
        <v>468</v>
      </c>
      <c r="H32" s="6" t="s">
        <v>469</v>
      </c>
    </row>
    <row r="33" ht="34" spans="1:8">
      <c r="A33" s="17">
        <v>29</v>
      </c>
      <c r="B33" s="18" t="s">
        <v>111</v>
      </c>
      <c r="C33" s="19">
        <v>0.0925</v>
      </c>
      <c r="D33" s="19">
        <v>0.055</v>
      </c>
      <c r="E33" s="25">
        <v>375</v>
      </c>
      <c r="F33" s="17">
        <f t="shared" si="1"/>
        <v>0.0375</v>
      </c>
      <c r="G33" s="26" t="s">
        <v>111</v>
      </c>
      <c r="H33" s="26" t="s">
        <v>470</v>
      </c>
    </row>
    <row r="34" ht="34" spans="1:8">
      <c r="A34" s="20">
        <v>30</v>
      </c>
      <c r="B34" s="21" t="s">
        <v>116</v>
      </c>
      <c r="C34" s="22">
        <v>0.11</v>
      </c>
      <c r="D34" s="22">
        <v>0.0725</v>
      </c>
      <c r="E34" s="25">
        <v>375</v>
      </c>
      <c r="F34" s="20">
        <f t="shared" si="1"/>
        <v>0.0375</v>
      </c>
      <c r="G34" s="6" t="s">
        <v>471</v>
      </c>
      <c r="H34" s="6" t="s">
        <v>472</v>
      </c>
    </row>
    <row r="35" ht="17.6" spans="1:8">
      <c r="A35" s="17">
        <v>31</v>
      </c>
      <c r="B35" s="18" t="s">
        <v>120</v>
      </c>
      <c r="C35" s="19">
        <v>0.105</v>
      </c>
      <c r="D35" s="19">
        <v>0.0675</v>
      </c>
      <c r="E35" s="25">
        <v>375</v>
      </c>
      <c r="F35" s="17">
        <f t="shared" si="1"/>
        <v>0.0375</v>
      </c>
      <c r="G35" s="26" t="s">
        <v>120</v>
      </c>
      <c r="H35" s="26" t="s">
        <v>473</v>
      </c>
    </row>
    <row r="36" ht="17.6" spans="1:8">
      <c r="A36" s="20">
        <v>32</v>
      </c>
      <c r="B36" s="21" t="s">
        <v>134</v>
      </c>
      <c r="C36" s="22">
        <v>0.11</v>
      </c>
      <c r="D36" s="22">
        <v>0.0725</v>
      </c>
      <c r="E36" s="25">
        <v>375</v>
      </c>
      <c r="F36" s="20">
        <f t="shared" si="1"/>
        <v>0.0375</v>
      </c>
      <c r="G36" s="6" t="s">
        <v>134</v>
      </c>
      <c r="H36" s="6" t="s">
        <v>474</v>
      </c>
    </row>
    <row r="37" ht="34" spans="1:8">
      <c r="A37" s="17">
        <v>33</v>
      </c>
      <c r="B37" s="18" t="s">
        <v>142</v>
      </c>
      <c r="C37" s="19">
        <v>0.0975</v>
      </c>
      <c r="D37" s="19">
        <v>0.06</v>
      </c>
      <c r="E37" s="25">
        <v>375</v>
      </c>
      <c r="F37" s="17">
        <f t="shared" si="1"/>
        <v>0.0375</v>
      </c>
      <c r="G37" s="26" t="s">
        <v>475</v>
      </c>
      <c r="H37" s="26" t="s">
        <v>476</v>
      </c>
    </row>
    <row r="38" ht="17.6" spans="1:8">
      <c r="A38" s="20">
        <v>34</v>
      </c>
      <c r="B38" s="21" t="s">
        <v>146</v>
      </c>
      <c r="C38" s="22">
        <v>0.105</v>
      </c>
      <c r="D38" s="22">
        <v>0.0675</v>
      </c>
      <c r="E38" s="25">
        <v>375</v>
      </c>
      <c r="F38" s="20">
        <f t="shared" si="1"/>
        <v>0.0375</v>
      </c>
      <c r="G38" s="6" t="s">
        <v>146</v>
      </c>
      <c r="H38" s="6" t="s">
        <v>477</v>
      </c>
    </row>
    <row r="39" ht="34" spans="1:8">
      <c r="A39" s="17">
        <v>35</v>
      </c>
      <c r="B39" s="18" t="s">
        <v>150</v>
      </c>
      <c r="C39" s="19">
        <v>0.095</v>
      </c>
      <c r="D39" s="19">
        <v>0.0575</v>
      </c>
      <c r="E39" s="25">
        <v>375</v>
      </c>
      <c r="F39" s="17">
        <f t="shared" si="1"/>
        <v>0.0375</v>
      </c>
      <c r="G39" s="26" t="s">
        <v>478</v>
      </c>
      <c r="H39" s="26" t="s">
        <v>479</v>
      </c>
    </row>
    <row r="40" ht="34" spans="1:8">
      <c r="A40" s="20">
        <v>36</v>
      </c>
      <c r="B40" s="21" t="s">
        <v>172</v>
      </c>
      <c r="C40" s="22">
        <v>0.1075</v>
      </c>
      <c r="D40" s="22">
        <v>0.07</v>
      </c>
      <c r="E40" s="25">
        <v>375</v>
      </c>
      <c r="F40" s="20">
        <f t="shared" si="1"/>
        <v>0.0375</v>
      </c>
      <c r="G40" s="6" t="s">
        <v>480</v>
      </c>
      <c r="H40" s="6" t="s">
        <v>481</v>
      </c>
    </row>
    <row r="41" ht="17.6" spans="1:8">
      <c r="A41" s="17">
        <v>37</v>
      </c>
      <c r="B41" s="18" t="s">
        <v>176</v>
      </c>
      <c r="C41" s="19">
        <v>0.11</v>
      </c>
      <c r="D41" s="19">
        <v>0.0725</v>
      </c>
      <c r="E41" s="25">
        <v>375</v>
      </c>
      <c r="F41" s="17">
        <f t="shared" si="1"/>
        <v>0.0375</v>
      </c>
      <c r="G41" s="26" t="s">
        <v>176</v>
      </c>
      <c r="H41" s="26" t="s">
        <v>482</v>
      </c>
    </row>
    <row r="42" ht="34" spans="1:8">
      <c r="A42" s="20">
        <v>38</v>
      </c>
      <c r="B42" s="21" t="s">
        <v>180</v>
      </c>
      <c r="C42" s="22">
        <v>0.095</v>
      </c>
      <c r="D42" s="22">
        <v>0.0575</v>
      </c>
      <c r="E42" s="25">
        <v>375</v>
      </c>
      <c r="F42" s="20">
        <f t="shared" si="1"/>
        <v>0.0375</v>
      </c>
      <c r="G42" s="6" t="s">
        <v>483</v>
      </c>
      <c r="H42" s="6" t="s">
        <v>484</v>
      </c>
    </row>
    <row r="43" ht="17.6" spans="1:8">
      <c r="A43" s="17">
        <v>39</v>
      </c>
      <c r="B43" s="18" t="s">
        <v>184</v>
      </c>
      <c r="C43" s="19">
        <v>0.1025</v>
      </c>
      <c r="D43" s="19">
        <v>0.065</v>
      </c>
      <c r="E43" s="25">
        <v>375</v>
      </c>
      <c r="F43" s="17">
        <f t="shared" si="1"/>
        <v>0.0375</v>
      </c>
      <c r="G43" s="26" t="s">
        <v>485</v>
      </c>
      <c r="H43" s="26" t="s">
        <v>486</v>
      </c>
    </row>
    <row r="44" ht="17.6" spans="1:8">
      <c r="A44" s="20">
        <v>40</v>
      </c>
      <c r="B44" s="21" t="s">
        <v>188</v>
      </c>
      <c r="C44" s="22">
        <v>0.1</v>
      </c>
      <c r="D44" s="22">
        <v>0.0625</v>
      </c>
      <c r="E44" s="25">
        <v>375</v>
      </c>
      <c r="F44" s="20">
        <f t="shared" si="1"/>
        <v>0.0375</v>
      </c>
      <c r="G44" s="6" t="s">
        <v>188</v>
      </c>
      <c r="H44" s="6" t="s">
        <v>487</v>
      </c>
    </row>
    <row r="45" ht="34" spans="1:8">
      <c r="A45" s="17">
        <v>41</v>
      </c>
      <c r="B45" s="18" t="s">
        <v>192</v>
      </c>
      <c r="C45" s="19">
        <v>0.1025</v>
      </c>
      <c r="D45" s="19">
        <v>0.065</v>
      </c>
      <c r="E45" s="25">
        <v>375</v>
      </c>
      <c r="F45" s="17">
        <f t="shared" si="1"/>
        <v>0.0375</v>
      </c>
      <c r="G45" s="26" t="s">
        <v>488</v>
      </c>
      <c r="H45" s="26" t="s">
        <v>489</v>
      </c>
    </row>
    <row r="46" ht="17.6" spans="1:8">
      <c r="A46" s="20">
        <v>42</v>
      </c>
      <c r="B46" s="21" t="s">
        <v>200</v>
      </c>
      <c r="C46" s="22">
        <v>0.1</v>
      </c>
      <c r="D46" s="22">
        <v>0.0625</v>
      </c>
      <c r="E46" s="25">
        <v>375</v>
      </c>
      <c r="F46" s="20">
        <f t="shared" si="1"/>
        <v>0.0375</v>
      </c>
      <c r="G46" s="6" t="s">
        <v>490</v>
      </c>
      <c r="H46" s="6" t="s">
        <v>491</v>
      </c>
    </row>
    <row r="47" ht="17.6" spans="1:8">
      <c r="A47" s="17">
        <v>43</v>
      </c>
      <c r="B47" s="18" t="s">
        <v>212</v>
      </c>
      <c r="C47" s="19">
        <v>0.11</v>
      </c>
      <c r="D47" s="19">
        <v>0.0725</v>
      </c>
      <c r="E47" s="25">
        <v>375</v>
      </c>
      <c r="F47" s="17">
        <f t="shared" si="1"/>
        <v>0.0375</v>
      </c>
      <c r="G47" s="26" t="s">
        <v>212</v>
      </c>
      <c r="H47" s="26" t="s">
        <v>492</v>
      </c>
    </row>
    <row r="48" ht="34" spans="1:8">
      <c r="A48" s="20">
        <v>44</v>
      </c>
      <c r="B48" s="21" t="s">
        <v>220</v>
      </c>
      <c r="C48" s="22">
        <v>0.0925</v>
      </c>
      <c r="D48" s="22">
        <v>0.055</v>
      </c>
      <c r="E48" s="25">
        <v>375</v>
      </c>
      <c r="F48" s="20">
        <f t="shared" si="1"/>
        <v>0.0375</v>
      </c>
      <c r="G48" s="6" t="s">
        <v>493</v>
      </c>
      <c r="H48" s="6" t="s">
        <v>494</v>
      </c>
    </row>
    <row r="49" ht="34" spans="1:8">
      <c r="A49" s="17">
        <v>45</v>
      </c>
      <c r="B49" s="18" t="s">
        <v>32</v>
      </c>
      <c r="C49" s="19">
        <v>0.09</v>
      </c>
      <c r="D49" s="19">
        <v>0.055</v>
      </c>
      <c r="E49" s="27">
        <v>350</v>
      </c>
      <c r="F49" s="17">
        <f>3.5%</f>
        <v>0.035</v>
      </c>
      <c r="G49" s="26" t="s">
        <v>495</v>
      </c>
      <c r="H49" s="26" t="s">
        <v>496</v>
      </c>
    </row>
    <row r="50" ht="34" spans="1:8">
      <c r="A50" s="20">
        <v>46</v>
      </c>
      <c r="B50" s="21" t="s">
        <v>38</v>
      </c>
      <c r="C50" s="22">
        <v>0.1</v>
      </c>
      <c r="D50" s="22">
        <v>0.065</v>
      </c>
      <c r="E50" s="27">
        <v>350</v>
      </c>
      <c r="F50" s="20">
        <f>3.5%</f>
        <v>0.035</v>
      </c>
      <c r="G50" s="6" t="s">
        <v>497</v>
      </c>
      <c r="H50" s="6" t="s">
        <v>498</v>
      </c>
    </row>
    <row r="51" ht="34" spans="1:8">
      <c r="A51" s="17">
        <v>47</v>
      </c>
      <c r="B51" s="18" t="s">
        <v>204</v>
      </c>
      <c r="C51" s="19">
        <v>0.1</v>
      </c>
      <c r="D51" s="19">
        <v>0.065</v>
      </c>
      <c r="E51" s="27">
        <v>350</v>
      </c>
      <c r="F51" s="17">
        <f>3.5%</f>
        <v>0.035</v>
      </c>
      <c r="G51" s="26" t="s">
        <v>499</v>
      </c>
      <c r="H51" s="26" t="s">
        <v>500</v>
      </c>
    </row>
    <row r="52" ht="34" spans="1:8">
      <c r="A52" s="20">
        <v>48</v>
      </c>
      <c r="B52" s="21" t="s">
        <v>54</v>
      </c>
      <c r="C52" s="22">
        <v>0.095</v>
      </c>
      <c r="D52" s="22">
        <v>0.0625</v>
      </c>
      <c r="E52" s="27">
        <v>325</v>
      </c>
      <c r="F52" s="20">
        <f>3.25%</f>
        <v>0.0325</v>
      </c>
      <c r="G52" s="6" t="s">
        <v>501</v>
      </c>
      <c r="H52" s="6" t="s">
        <v>502</v>
      </c>
    </row>
    <row r="53" ht="34" spans="1:8">
      <c r="A53" s="17">
        <v>49</v>
      </c>
      <c r="B53" s="18" t="s">
        <v>159</v>
      </c>
      <c r="C53" s="19">
        <v>0.09</v>
      </c>
      <c r="D53" s="19">
        <v>0.0575</v>
      </c>
      <c r="E53" s="27">
        <v>325</v>
      </c>
      <c r="F53" s="17">
        <f>3.25%</f>
        <v>0.0325</v>
      </c>
      <c r="G53" s="26" t="s">
        <v>503</v>
      </c>
      <c r="H53" s="26" t="s">
        <v>504</v>
      </c>
    </row>
    <row r="54" ht="34" spans="1:8">
      <c r="A54" s="20">
        <v>50</v>
      </c>
      <c r="B54" s="21" t="s">
        <v>62</v>
      </c>
      <c r="C54" s="22">
        <v>0.08</v>
      </c>
      <c r="D54" s="22">
        <v>0.05</v>
      </c>
      <c r="E54" s="28">
        <v>300</v>
      </c>
      <c r="F54" s="20">
        <f>3%</f>
        <v>0.03</v>
      </c>
      <c r="G54" s="6" t="s">
        <v>62</v>
      </c>
      <c r="H54" s="6" t="s">
        <v>505</v>
      </c>
    </row>
    <row r="56" spans="1:1">
      <c r="A56" s="23" t="s">
        <v>506</v>
      </c>
    </row>
    <row r="57" spans="1:1">
      <c r="A57" s="24" t="s">
        <v>507</v>
      </c>
    </row>
    <row r="58" spans="1:1">
      <c r="A58" s="24" t="s">
        <v>508</v>
      </c>
    </row>
    <row r="59" spans="1:1">
      <c r="A59" s="24" t="s">
        <v>509</v>
      </c>
    </row>
    <row r="60" spans="1:1">
      <c r="A60" s="24" t="s">
        <v>510</v>
      </c>
    </row>
    <row r="61" spans="1:1">
      <c r="A61" s="24" t="s">
        <v>511</v>
      </c>
    </row>
    <row r="62" spans="1:1">
      <c r="A62" s="24" t="s">
        <v>512</v>
      </c>
    </row>
  </sheetData>
  <mergeCells count="9">
    <mergeCell ref="A1:H1"/>
    <mergeCell ref="A2:H2"/>
    <mergeCell ref="A56:H56"/>
    <mergeCell ref="A57:H57"/>
    <mergeCell ref="A58:H58"/>
    <mergeCell ref="A59:H59"/>
    <mergeCell ref="A60:H60"/>
    <mergeCell ref="A61:H61"/>
    <mergeCell ref="A62:H6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4"/>
  <sheetViews>
    <sheetView workbookViewId="0">
      <selection activeCell="C4" sqref="C4"/>
    </sheetView>
  </sheetViews>
  <sheetFormatPr defaultColWidth="11" defaultRowHeight="16.8" outlineLevelCol="4"/>
  <cols>
    <col min="1" max="1" width="24.3359375" customWidth="1"/>
    <col min="2" max="2" width="75" customWidth="1"/>
    <col min="3" max="3" width="17" customWidth="1"/>
  </cols>
  <sheetData>
    <row r="1" ht="19.2" spans="1:1">
      <c r="A1" s="1"/>
    </row>
    <row r="2" spans="1:1">
      <c r="A2" s="2"/>
    </row>
    <row r="4" spans="1:5">
      <c r="A4" s="3" t="s">
        <v>2</v>
      </c>
      <c r="B4" s="3" t="s">
        <v>513</v>
      </c>
      <c r="C4" s="3" t="s">
        <v>514</v>
      </c>
      <c r="E4" t="str">
        <f t="array" ref="E4:E12">_xlfn._xlws.SORT(_xlfn.UNIQUE(C5:C54))</f>
        <v>A</v>
      </c>
    </row>
    <row r="5" ht="41" spans="1:5">
      <c r="A5" s="4" t="s">
        <v>8</v>
      </c>
      <c r="B5" s="5" t="s">
        <v>515</v>
      </c>
      <c r="C5" s="5" t="s">
        <v>516</v>
      </c>
      <c r="E5" t="str">
        <v>A+</v>
      </c>
    </row>
    <row r="6" ht="41" spans="1:5">
      <c r="A6" s="6" t="s">
        <v>14</v>
      </c>
      <c r="B6" s="7" t="s">
        <v>517</v>
      </c>
      <c r="C6" s="7" t="s">
        <v>518</v>
      </c>
      <c r="E6" t="str">
        <v>B</v>
      </c>
    </row>
    <row r="7" ht="41" spans="1:5">
      <c r="A7" s="4" t="s">
        <v>20</v>
      </c>
      <c r="B7" s="5" t="s">
        <v>519</v>
      </c>
      <c r="C7" s="5" t="s">
        <v>516</v>
      </c>
      <c r="E7" t="str">
        <v>B+</v>
      </c>
    </row>
    <row r="8" ht="28" spans="1:5">
      <c r="A8" s="6" t="s">
        <v>26</v>
      </c>
      <c r="B8" s="8" t="s">
        <v>520</v>
      </c>
      <c r="C8" s="8" t="s">
        <v>516</v>
      </c>
      <c r="E8" t="str">
        <v>C</v>
      </c>
    </row>
    <row r="9" ht="55" spans="1:5">
      <c r="A9" s="4" t="s">
        <v>32</v>
      </c>
      <c r="B9" s="9" t="s">
        <v>521</v>
      </c>
      <c r="C9" s="9" t="s">
        <v>522</v>
      </c>
      <c r="E9" t="str">
        <v>C-</v>
      </c>
    </row>
    <row r="10" ht="41" spans="1:5">
      <c r="A10" s="6" t="s">
        <v>38</v>
      </c>
      <c r="B10" s="10" t="s">
        <v>523</v>
      </c>
      <c r="C10" s="10" t="s">
        <v>524</v>
      </c>
      <c r="E10" t="str">
        <v>D</v>
      </c>
    </row>
    <row r="11" ht="41" spans="1:5">
      <c r="A11" s="4" t="s">
        <v>44</v>
      </c>
      <c r="B11" s="11" t="s">
        <v>525</v>
      </c>
      <c r="C11" s="11" t="s">
        <v>526</v>
      </c>
      <c r="E11" t="str">
        <v>D-</v>
      </c>
    </row>
    <row r="12" ht="28" spans="1:5">
      <c r="A12" s="6" t="s">
        <v>49</v>
      </c>
      <c r="B12" s="10" t="s">
        <v>527</v>
      </c>
      <c r="C12" s="10" t="s">
        <v>524</v>
      </c>
      <c r="E12" t="str">
        <v>F</v>
      </c>
    </row>
    <row r="13" ht="41" spans="1:3">
      <c r="A13" s="4" t="s">
        <v>54</v>
      </c>
      <c r="B13" s="5" t="s">
        <v>528</v>
      </c>
      <c r="C13" s="5" t="s">
        <v>516</v>
      </c>
    </row>
    <row r="14" ht="41" spans="1:3">
      <c r="A14" s="6" t="s">
        <v>58</v>
      </c>
      <c r="B14" s="8" t="s">
        <v>529</v>
      </c>
      <c r="C14" s="8" t="s">
        <v>516</v>
      </c>
    </row>
    <row r="15" ht="41" spans="1:3">
      <c r="A15" s="4" t="s">
        <v>62</v>
      </c>
      <c r="B15" s="11" t="s">
        <v>530</v>
      </c>
      <c r="C15" s="11" t="s">
        <v>526</v>
      </c>
    </row>
    <row r="16" ht="28" spans="1:3">
      <c r="A16" s="6" t="s">
        <v>68</v>
      </c>
      <c r="B16" s="8" t="s">
        <v>531</v>
      </c>
      <c r="C16" s="8" t="s">
        <v>516</v>
      </c>
    </row>
    <row r="17" ht="41" spans="1:3">
      <c r="A17" s="4" t="s">
        <v>73</v>
      </c>
      <c r="B17" s="12" t="s">
        <v>532</v>
      </c>
      <c r="C17" s="12" t="s">
        <v>533</v>
      </c>
    </row>
    <row r="18" ht="41" spans="1:3">
      <c r="A18" s="6" t="s">
        <v>79</v>
      </c>
      <c r="B18" s="8" t="s">
        <v>534</v>
      </c>
      <c r="C18" s="8" t="s">
        <v>516</v>
      </c>
    </row>
    <row r="19" ht="28" spans="1:3">
      <c r="A19" s="4" t="s">
        <v>83</v>
      </c>
      <c r="B19" s="13" t="s">
        <v>535</v>
      </c>
      <c r="C19" s="13" t="s">
        <v>536</v>
      </c>
    </row>
    <row r="20" ht="28" spans="1:3">
      <c r="A20" s="6" t="s">
        <v>89</v>
      </c>
      <c r="B20" s="8" t="s">
        <v>537</v>
      </c>
      <c r="C20" s="8" t="s">
        <v>516</v>
      </c>
    </row>
    <row r="21" ht="28" spans="1:3">
      <c r="A21" s="4" t="s">
        <v>93</v>
      </c>
      <c r="B21" s="13" t="s">
        <v>538</v>
      </c>
      <c r="C21" s="13" t="s">
        <v>536</v>
      </c>
    </row>
    <row r="22" ht="41" spans="1:3">
      <c r="A22" s="6" t="s">
        <v>97</v>
      </c>
      <c r="B22" s="10" t="s">
        <v>539</v>
      </c>
      <c r="C22" s="10" t="s">
        <v>524</v>
      </c>
    </row>
    <row r="23" ht="41" spans="1:3">
      <c r="A23" s="4" t="s">
        <v>101</v>
      </c>
      <c r="B23" s="12" t="s">
        <v>540</v>
      </c>
      <c r="C23" s="12" t="s">
        <v>518</v>
      </c>
    </row>
    <row r="24" ht="41" spans="1:3">
      <c r="A24" s="6" t="s">
        <v>105</v>
      </c>
      <c r="B24" s="7" t="s">
        <v>541</v>
      </c>
      <c r="C24" s="7" t="s">
        <v>533</v>
      </c>
    </row>
    <row r="25" ht="55" spans="1:3">
      <c r="A25" s="4" t="s">
        <v>111</v>
      </c>
      <c r="B25" s="9" t="s">
        <v>542</v>
      </c>
      <c r="C25" s="9" t="s">
        <v>522</v>
      </c>
    </row>
    <row r="26" ht="41" spans="1:3">
      <c r="A26" s="6" t="s">
        <v>116</v>
      </c>
      <c r="B26" s="10" t="s">
        <v>543</v>
      </c>
      <c r="C26" s="10" t="s">
        <v>524</v>
      </c>
    </row>
    <row r="27" ht="41" spans="1:3">
      <c r="A27" s="4" t="s">
        <v>120</v>
      </c>
      <c r="B27" s="11" t="s">
        <v>544</v>
      </c>
      <c r="C27" s="11" t="s">
        <v>526</v>
      </c>
    </row>
    <row r="28" ht="28" spans="1:3">
      <c r="A28" s="6" t="s">
        <v>124</v>
      </c>
      <c r="B28" s="8" t="s">
        <v>545</v>
      </c>
      <c r="C28" s="8" t="s">
        <v>516</v>
      </c>
    </row>
    <row r="29" ht="41" spans="1:3">
      <c r="A29" s="4" t="s">
        <v>130</v>
      </c>
      <c r="B29" s="13" t="s">
        <v>546</v>
      </c>
      <c r="C29" s="13" t="s">
        <v>536</v>
      </c>
    </row>
    <row r="30" ht="28" spans="1:3">
      <c r="A30" s="6" t="s">
        <v>134</v>
      </c>
      <c r="B30" s="10" t="s">
        <v>547</v>
      </c>
      <c r="C30" s="10" t="s">
        <v>536</v>
      </c>
    </row>
    <row r="31" ht="28" spans="1:3">
      <c r="A31" s="4" t="s">
        <v>138</v>
      </c>
      <c r="B31" s="13" t="s">
        <v>548</v>
      </c>
      <c r="C31" s="13" t="s">
        <v>536</v>
      </c>
    </row>
    <row r="32" ht="41" spans="1:3">
      <c r="A32" s="6" t="s">
        <v>142</v>
      </c>
      <c r="B32" s="10" t="s">
        <v>549</v>
      </c>
      <c r="C32" s="10" t="s">
        <v>536</v>
      </c>
    </row>
    <row r="33" ht="28" spans="1:3">
      <c r="A33" s="4" t="s">
        <v>146</v>
      </c>
      <c r="B33" s="13" t="s">
        <v>550</v>
      </c>
      <c r="C33" s="13" t="s">
        <v>536</v>
      </c>
    </row>
    <row r="34" ht="41" spans="1:3">
      <c r="A34" s="6" t="s">
        <v>150</v>
      </c>
      <c r="B34" s="14" t="s">
        <v>551</v>
      </c>
      <c r="C34" s="14" t="s">
        <v>526</v>
      </c>
    </row>
    <row r="35" ht="28" spans="1:3">
      <c r="A35" s="4" t="s">
        <v>155</v>
      </c>
      <c r="B35" s="13" t="s">
        <v>552</v>
      </c>
      <c r="C35" s="13" t="s">
        <v>524</v>
      </c>
    </row>
    <row r="36" ht="68" spans="1:3">
      <c r="A36" s="6" t="s">
        <v>159</v>
      </c>
      <c r="B36" s="15" t="s">
        <v>553</v>
      </c>
      <c r="C36" s="15" t="s">
        <v>522</v>
      </c>
    </row>
    <row r="37" ht="41" spans="1:3">
      <c r="A37" s="4" t="s">
        <v>164</v>
      </c>
      <c r="B37" s="5" t="s">
        <v>554</v>
      </c>
      <c r="C37" s="5" t="s">
        <v>516</v>
      </c>
    </row>
    <row r="38" ht="28" spans="1:3">
      <c r="A38" s="6" t="s">
        <v>168</v>
      </c>
      <c r="B38" s="8" t="s">
        <v>555</v>
      </c>
      <c r="C38" s="8" t="s">
        <v>516</v>
      </c>
    </row>
    <row r="39" ht="41" spans="1:3">
      <c r="A39" s="4" t="s">
        <v>172</v>
      </c>
      <c r="B39" s="13" t="s">
        <v>556</v>
      </c>
      <c r="C39" s="13" t="s">
        <v>536</v>
      </c>
    </row>
    <row r="40" ht="28" spans="1:3">
      <c r="A40" s="6" t="s">
        <v>176</v>
      </c>
      <c r="B40" s="8" t="s">
        <v>557</v>
      </c>
      <c r="C40" s="8" t="s">
        <v>516</v>
      </c>
    </row>
    <row r="41" ht="41" spans="1:3">
      <c r="A41" s="4" t="s">
        <v>180</v>
      </c>
      <c r="B41" s="11" t="s">
        <v>558</v>
      </c>
      <c r="C41" s="11" t="s">
        <v>559</v>
      </c>
    </row>
    <row r="42" ht="41" spans="1:3">
      <c r="A42" s="6" t="s">
        <v>184</v>
      </c>
      <c r="B42" s="10" t="s">
        <v>560</v>
      </c>
      <c r="C42" s="10" t="s">
        <v>524</v>
      </c>
    </row>
    <row r="43" ht="41" spans="1:3">
      <c r="A43" s="4" t="s">
        <v>188</v>
      </c>
      <c r="B43" s="12" t="s">
        <v>561</v>
      </c>
      <c r="C43" s="12" t="s">
        <v>518</v>
      </c>
    </row>
    <row r="44" ht="41" spans="1:3">
      <c r="A44" s="6" t="s">
        <v>192</v>
      </c>
      <c r="B44" s="8" t="s">
        <v>562</v>
      </c>
      <c r="C44" s="8" t="s">
        <v>516</v>
      </c>
    </row>
    <row r="45" ht="28" spans="1:3">
      <c r="A45" s="4" t="s">
        <v>196</v>
      </c>
      <c r="B45" s="5" t="s">
        <v>563</v>
      </c>
      <c r="C45" s="5" t="s">
        <v>516</v>
      </c>
    </row>
    <row r="46" ht="41" spans="1:3">
      <c r="A46" s="6" t="s">
        <v>200</v>
      </c>
      <c r="B46" s="8" t="s">
        <v>564</v>
      </c>
      <c r="C46" s="8" t="s">
        <v>516</v>
      </c>
    </row>
    <row r="47" ht="55" spans="1:3">
      <c r="A47" s="4" t="s">
        <v>204</v>
      </c>
      <c r="B47" s="5" t="s">
        <v>565</v>
      </c>
      <c r="C47" s="5" t="s">
        <v>566</v>
      </c>
    </row>
    <row r="48" ht="28" spans="1:3">
      <c r="A48" s="6" t="s">
        <v>208</v>
      </c>
      <c r="B48" s="10" t="s">
        <v>567</v>
      </c>
      <c r="C48" s="10" t="s">
        <v>536</v>
      </c>
    </row>
    <row r="49" ht="41" spans="1:3">
      <c r="A49" s="4" t="s">
        <v>212</v>
      </c>
      <c r="B49" s="12" t="s">
        <v>568</v>
      </c>
      <c r="C49" s="12" t="s">
        <v>533</v>
      </c>
    </row>
    <row r="50" ht="41" spans="1:3">
      <c r="A50" s="6" t="s">
        <v>216</v>
      </c>
      <c r="B50" s="10" t="s">
        <v>569</v>
      </c>
      <c r="C50" s="10" t="s">
        <v>524</v>
      </c>
    </row>
    <row r="51" ht="41" spans="1:3">
      <c r="A51" s="4" t="s">
        <v>220</v>
      </c>
      <c r="B51" s="11" t="s">
        <v>570</v>
      </c>
      <c r="C51" s="11" t="s">
        <v>526</v>
      </c>
    </row>
    <row r="52" ht="41" spans="1:3">
      <c r="A52" s="6" t="s">
        <v>224</v>
      </c>
      <c r="B52" s="10" t="s">
        <v>571</v>
      </c>
      <c r="C52" s="10" t="s">
        <v>536</v>
      </c>
    </row>
    <row r="53" ht="28" spans="1:3">
      <c r="A53" s="4" t="s">
        <v>228</v>
      </c>
      <c r="B53" s="13" t="s">
        <v>572</v>
      </c>
      <c r="C53" s="13" t="s">
        <v>524</v>
      </c>
    </row>
    <row r="54" ht="28" spans="1:3">
      <c r="A54" s="6" t="s">
        <v>232</v>
      </c>
      <c r="B54" s="8" t="s">
        <v>573</v>
      </c>
      <c r="C54" s="8" t="s">
        <v>516</v>
      </c>
    </row>
  </sheetData>
  <mergeCells count="2">
    <mergeCell ref="A1:B1"/>
    <mergeCell ref="A2:B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Class C Apartment Cap Rates</vt:lpstr>
      <vt:lpstr>Class C Hotel Cap Rates</vt:lpstr>
      <vt:lpstr>Cap Rate Spread Analysis</vt:lpstr>
      <vt:lpstr>Regulatory Environment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张梓瑶</cp:lastModifiedBy>
  <dcterms:created xsi:type="dcterms:W3CDTF">2026-04-10T04:34:00Z</dcterms:created>
  <dcterms:modified xsi:type="dcterms:W3CDTF">2026-04-29T15:46:08Z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1033-6.5.1.8687</vt:lpwstr>
  </property>
  <property fmtid="{D5CDD505-2E9C-101B-9397-08002B2CF9AE}" pid="3" name="ICV">
    <vt:lpwstr>092B411AE496576FB002DD69007E32CE_43</vt:lpwstr>
  </property>
</Properties>
</file>